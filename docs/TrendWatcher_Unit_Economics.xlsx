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2f8804731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b8946995e99e4d57"/>
    <x:sheet xmlns:r="http://schemas.openxmlformats.org/officeDocument/2006/relationships" name="Допущения" sheetId="2" r:id="Rb184dbd2051b4289"/>
    <x:sheet xmlns:r="http://schemas.openxmlformats.org/officeDocument/2006/relationships" name="Unit-экономика" sheetId="3" r:id="R7cd0c14389df4795"/>
    <x:sheet xmlns:r="http://schemas.openxmlformats.org/officeDocument/2006/relationships" name="План 24 месяца" sheetId="4" r:id="Raedf7a9a263a4ac4"/>
    <x:sheet xmlns:r="http://schemas.openxmlformats.org/officeDocument/2006/relationships" name="Сценарии" sheetId="5" r:id="R32fd95bac29f4879"/>
    <x:sheet xmlns:r="http://schemas.openxmlformats.org/officeDocument/2006/relationships" name="ROI клиента" sheetId="6" r:id="Rb30340f42b1e441b"/>
    <x:sheet xmlns:r="http://schemas.openxmlformats.org/officeDocument/2006/relationships" name="Бизнес-модель" sheetId="7" r:id="R7b24fb12c05a4e21"/>
    <x:sheet xmlns:r="http://schemas.openxmlformats.org/officeDocument/2006/relationships" name="Источники" sheetId="8" r:id="Re5271d9c019e4dd0"/>
    <x:sheet xmlns:r="http://schemas.openxmlformats.org/officeDocument/2006/relationships" name="Проверки" sheetId="9" r:id="Re0e5b054c1df4119"/>
  </x:sheets>
</x:workbook>
</file>

<file path=xl/comments1.xml><?xml version="1.0" encoding="utf-8"?>
<x:comments xmlns:x="http://schemas.openxmlformats.org/spreadsheetml/2006/main">
  <x:authors>
    <x:author>tc={509ED1DD-A6C3-45D6-A3F3-A8D8498D220C}</x:author>
    <x:author>tc={F870DF7B-92FA-4FD2-BA85-A7DC8493024B}</x:author>
    <x:author>tc={E0AA8857-F6C9-47DC-A3C2-D59560F97425}</x:author>
    <x:author>tc={244B7F94-7E9D-41D8-92C2-318372A944E2}</x:author>
    <x:author>tc={A4808444-FBA4-48B5-B3CB-D01596FEDFC1}</x:author>
    <x:author>tc={E7682E2F-2175-4ADF-981D-0A66CEE04BFE}</x:author>
    <x:author>tc={629C47D9-1206-4EEA-A81E-6EA99BFC0A74}</x:author>
    <x:author>tc={ADECF2DC-F362-40CB-9BC4-A08D55C4D1F5}</x:author>
    <x:author>tc={95B267F5-43FB-419C-9065-348B8BF236A1}</x:author>
    <x:author>tc={A8E8DC2B-AB3E-4111-81C1-FAF216E3C145}</x:author>
    <x:author>tc={F45120C8-1F92-4C16-9BD4-969A249943C6}</x:author>
    <x:author>tc={60512EEF-E5AD-4FD1-B744-9C7C36238299}</x:author>
    <x:author>tc={785D944A-3DE6-4561-8458-FE36992D104E}</x:author>
    <x:author>tc={C332D961-15D3-4E53-9F15-3448F9F23B95}</x:author>
    <x:author>tc={370F46C9-BCE1-448B-A5ED-6E7C8AA81AAC}</x:author>
    <x:author>tc={F5DABD36-47A7-4161-87C1-02E34DE13EB7}</x:author>
    <x:author>tc={81BD103F-E1D3-44E8-A673-F0E85BC6678F}</x:author>
    <x:author>tc={8CEC3F90-66C5-4D79-BE94-52AFE2F1F202}</x:author>
    <x:author>tc={7C938561-AC39-4780-B5B7-ABD3127F2A71}</x:author>
    <x:author>tc={CB31D42C-50F7-4883-B085-AECB8471B34A}</x:author>
    <x:author>tc={73989984-ABAD-4790-B254-D21900E4C9F5}</x:author>
    <x:author>tc={136F9A69-3FFB-4403-ADB9-55E4DBF5AE08}</x:author>
    <x:author>tc={B01BB3C1-BE1D-4738-8C94-2C7F48D1813B}</x:author>
    <x:author>tc={416C9200-6AE7-4EB8-861E-DA3DE79CDBE1}</x:author>
    <x:author>tc={73EFE87F-398E-44CD-9384-ED968EF5AE25}</x:author>
    <x:author>tc={FA494C83-707B-493A-B5D4-78D34B349361}</x:author>
    <x:author>tc={AA17E521-48E7-4CAB-B0D6-54EC125492FF}</x:author>
    <x:author>tc={35539CA5-ECC2-4D12-8F5B-C20FC947172C}</x:author>
    <x:author>tc={B1ACB22F-94D4-4EBF-8634-8D28B05B83A4}</x:author>
    <x:author>tc={81BDDBDF-87EE-4716-9F24-CAA0E1BEE6E7}</x:author>
    <x:author>tc={6B664736-D4E7-4C5F-AA90-724C4E59296B}</x:author>
    <x:author>tc={18B95488-DF00-44CD-B587-F4E761D73CBC}</x:author>
    <x:author>tc={B6B7FCF2-BE79-4289-B403-8288F64EF67A}</x:author>
    <x:author>tc={8D467D78-DC1D-4D55-8450-CF4C05614954}</x:author>
    <x:author>tc={08EFDB38-B0C5-41F3-A3B8-6E5AEC5372A7}</x:author>
    <x:author>tc={66602D6A-7038-4F7D-A241-A3B6EE74D9A7}</x:author>
    <x:author>tc={776B61E0-5116-4547-A2BA-55CE00889C1F}</x:author>
    <x:author>tc={606D2D60-F701-490E-8646-EA9FFACA7D13}</x:author>
    <x:author>tc={7CB2C1E4-08B2-4059-8FF4-2656858264CE}</x:author>
    <x:author>tc={0E7C2856-94BD-46C4-8A30-1CA78820127E}</x:author>
    <x:author>tc={9CB91D71-3DB8-44B1-A1E3-6017DB4F0B49}</x:author>
    <x:author>tc={E084BA39-A874-43C4-A502-BDDB11196919}</x:author>
    <x:author>tc={C5B7DB7E-F247-4964-9530-2E77B99BB34D}</x:author>
    <x:author>tc={0FBF256F-8810-44AD-9CDA-E88DD858FEBC}</x:author>
    <x:author>tc={83A90548-A009-4338-BF4D-19694E8DE7C6}</x:author>
    <x:author>tc={0C7C0A94-07E1-4130-A327-3124FB05AEF4}</x:author>
    <x:author>tc={E7514548-C313-4728-B0CC-09AC4573336C}</x:author>
    <x:author>tc={CF9C0610-821F-49CF-A986-B78B3AB8498F}</x:author>
    <x:author>tc={A0B4919B-67E2-4056-BE4D-6A70A9E6015E}</x:author>
    <x:author>tc={B54725DA-82DB-467C-B461-C77E58A58101}</x:author>
    <x:author>tc={A9DF6071-91BA-4567-817B-D64D474E9CE4}</x:author>
    <x:author>tc={5C73B379-4368-4FAA-9691-596B3B94B7D8}</x:author>
    <x:author>tc={D389A339-92DE-4D79-BBD9-4BFA73A06A17}</x:author>
    <x:author>tc={A5E62CBB-14D2-4FFC-B471-1151F5E989E5}</x:author>
    <x:author>tc={817A56DA-1397-4770-9DF2-C503494A1DD8}</x:author>
    <x:author>tc={26C6E452-9303-40C2-AF46-3968477C16B5}</x:author>
    <x:author>tc={BABF9DC0-0520-44F9-B410-920691AA4C83}</x:author>
    <x:author>tc={27B7EE76-3198-44D5-87DD-A5BA040BDCBB}</x:author>
    <x:author>tc={16E6AA76-DF3E-480B-B7BC-F57645B8CE09}</x:author>
    <x:author>tc={A024E3B4-0027-4E33-80B9-D149687184B3}</x:author>
    <x:author>tc={CBC7CD7E-11D2-45BE-95DA-E801A69C3207}</x:author>
    <x:author>tc={E6924176-EA6C-4883-9851-6DECBEFD0766}</x:author>
    <x:author>tc={7BE726B2-95A2-4E9D-8C15-E48C814CB290}</x:author>
    <x:author>tc={6B89DE2B-C41D-4575-80A2-2B60431A4317}</x:author>
    <x:author>tc={BBB4F679-323A-4F4B-B97D-37B18FD6FAAA}</x:author>
    <x:author>tc={F3A0B1F8-BBBD-47B3-8AA0-12FCA36B6992}</x:author>
    <x:author>tc={7BAC1061-874F-4F9C-A3CD-9485D5BE0CC1}</x:author>
    <x:author>tc={E2F7690F-0AC5-4568-823A-3B7109954B04}</x:author>
    <x:author>tc={B158E563-4024-4ED2-986A-9F8E9D171642}</x:author>
    <x:author>tc={5D0C890E-6B3F-48BD-BC85-7CA3274C760F}</x:author>
    <x:author>tc={66281FD4-0E84-4D8B-8221-6EB10B730A0A}</x:author>
    <x:author>tc={29291CF8-030D-4F88-B1B0-0AA76ECCF080}</x:author>
    <x:author>tc={7C188AF9-3209-4834-B287-120F20DE31D3}</x:author>
    <x:author>tc={0E7EB122-5970-4002-8181-0750391826C6}</x:author>
    <x:author>tc={0586A34C-62C0-4798-913B-352C2AF2DF9C}</x:author>
    <x:author>tc={11DAA3AB-3063-4E58-84AD-5066399014C0}</x:author>
    <x:author>tc={0B205E9B-4188-4691-9390-7875FC65DCF9}</x:author>
    <x:author>tc={1D7ECD05-F5F1-4412-A0DF-15F3DF52AFC4}</x:author>
    <x:author>tc={FF3BAA72-442D-4B3B-97F8-924BCDF9CAC5}</x:author>
    <x:author>tc={D4D1BF5E-7993-486B-AADD-B910530E92A4}</x:author>
    <x:author>tc={48CDB1BA-4E2C-4DB2-950C-C081074FD126}</x:author>
    <x:author>tc={161CCD04-AC77-4BF6-A404-FA4B185828D2}</x:author>
    <x:author>tc={6BF0CF41-1F8A-47CB-89DB-7A6A341B87B1}</x:author>
    <x:author>tc={1518E868-47F7-4190-92C4-1F828726167D}</x:author>
    <x:author>tc={31B0634A-C627-44CB-91D8-EFB3DB32BE5C}</x:author>
    <x:author>tc={CABC47EC-E3F2-4909-8278-61BA80462F21}</x:author>
    <x:author>tc={4502F5C2-07D4-475F-82AA-25673B41E109}</x:author>
    <x:author>tc={CC741D0A-296C-4B16-981E-7F50E21B4033}</x:author>
    <x:author>tc={0230DC4B-FAE0-4ADE-BF8D-5BD16D07A3CD}</x:author>
    <x:author>tc={70BB91E5-2CDD-4A9C-96FD-821678C60998}</x:author>
    <x:author>tc={98FA86F8-EEEE-47F2-A3B1-4507CC239F48}</x:author>
    <x:author>tc={2F9C607E-569C-48EB-A98C-5B9E8970D360}</x:author>
    <x:author>tc={43711557-55D0-4515-94A4-4166DF517591}</x:author>
    <x:author>tc={DCE51A02-1DFA-4A63-95C4-ABD7B125709C}</x:author>
    <x:author>tc={6522B163-0FB0-4134-AB8B-F34C39613C55}</x:author>
    <x:author>tc={98705852-229F-4EC4-8C01-5E4393342BA3}</x:author>
    <x:author>tc={5DCCBA43-03C3-438B-95A2-4CE2FFD44784}</x:author>
    <x:author>tc={9356534A-DFC2-4CB0-A025-9C6978335961}</x:author>
    <x:author>tc={893DFD4D-7D98-41E6-8B79-F737D5E7A355}</x:author>
    <x:author>tc={9DF93033-E138-4CA6-92D3-07752E2E955D}</x:author>
    <x:author>tc={63DDDED4-FC62-409E-9956-BE7F9B7E068C}</x:author>
    <x:author>tc={D7070061-B802-4DEC-BA23-84690CD20524}</x:author>
    <x:author>tc={E009A14F-DA97-4E7A-9185-F1A1EAADB404}</x:author>
    <x:author>tc={09DAED4D-77D3-4D02-9B78-363133C50E9B}</x:author>
    <x:author>tc={DBFA31BD-72E3-4F4B-A7E5-E4A00BC83A43}</x:author>
    <x:author>tc={A4BCCFD7-EEF0-44B3-AC36-208D0F58A9AD}</x:author>
    <x:author>tc={52A24CD7-A7C1-45B7-A036-D23FBEF44A9B}</x:author>
    <x:author>tc={2F008AA2-C83E-42C5-8FC2-259CBDCDF549}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Гипотеза цены: проверить в 10 интервью и 3 платных пилотах.</x:t>
        </x:r>
      </x:text>
    </x:comment>
    <x:comment ref="C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Гипотеза цены: проверить в 10 интервью и 3 платных пилотах.</x:t>
        </x:r>
      </x:text>
    </x:comment>
    <x:comment ref="D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Гипотеза цены: проверить в 10 интервью и 3 платных пилотах.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Разовый пилот; его выручка не входит в MRR.</x:t>
        </x:r>
      </x:text>
    </x:comment>
    <x:comment ref="C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Разовый пилот; его выручка не входит в MRR.</x:t>
        </x:r>
      </x:text>
    </x:comment>
    <x:comment ref="D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Разовый пилот; его выручка не входит в MRR.</x:t>
        </x:r>
      </x:text>
    </x:comment>
    <x:comment ref="B9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Разовое подключение в начале подписки.</x:t>
        </x:r>
      </x:text>
    </x:comment>
    <x:comment ref="C9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Разовое подключение в начале подписки.</x:t>
        </x:r>
      </x:text>
    </x:comment>
    <x:comment ref="D9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Разовое подключение в начале подписки.</x:t>
        </x:r>
      </x:text>
    </x:comment>
    <x:comment ref="B10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Рабочий лимит Team. Проверить по реальным запускам.</x:t>
        </x:r>
      </x:text>
    </x:comment>
    <x:comment ref="C10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Рабочий лимит Team. Проверить по реальным запускам.</x:t>
        </x:r>
      </x:text>
    </x:comment>
    <x:comment ref="D10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Рабочий лимит Team. Проверить по реальным запускам.</x:t>
        </x:r>
      </x:text>
    </x:comment>
    <x:comment ref="B1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Остальное берётся из кэша; экономия пока гипотеза.</x:t>
        </x:r>
      </x:text>
    </x:comment>
    <x:comment ref="C1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Остальное берётся из кэша; экономия пока гипотеза.</x:t>
        </x:r>
      </x:text>
    </x:comment>
    <x:comment ref="D1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Остальное берётся из кэша; экономия пока гипотеза.</x:t>
        </x:r>
      </x:text>
    </x:comment>
    <x:comment ref="B1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Включает долю системного промпта на статью.</x:t>
        </x:r>
      </x:text>
    </x:comment>
    <x:comment ref="C1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Включает долю системного промпта на статью.</x:t>
        </x:r>
      </x:text>
    </x:comment>
    <x:comment ref="D1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Включает долю системного промпта на статью.</x:t>
        </x:r>
      </x:text>
    </x:comment>
    <x:comment ref="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Среднее, не лимит max_tokens. Нужно измерение.</x:t>
        </x:r>
      </x:text>
    </x:comment>
    <x:comment ref="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Среднее, не лимит max_tokens. Нужно измерение.</x:t>
        </x:r>
      </x:text>
    </x:comment>
    <x:comment ref="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Среднее, не лимит max_tokens. Нужно измерение.</x:t>
        </x:r>
      </x:text>
    </x:comment>
    <x:comment ref="B14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Резерв на повторы и неудачные запросы.</x:t>
        </x:r>
      </x:text>
    </x:comment>
    <x:comment ref="C14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Резерв на повторы и неудачные запросы.</x:t>
        </x:r>
      </x:text>
    </x:comment>
    <x:comment ref="D14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Резерв на повторы и неудачные запросы.</x:t>
        </x:r>
      </x:text>
    </x:comment>
    <x:comment ref="B15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Сценарное допущение; не текущий курс валют.</x:t>
        </x:r>
      </x:text>
    </x:comment>
    <x:comment ref="C15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Сценарное допущение; не текущий курс валют.</x:t>
        </x:r>
      </x:text>
    </x:comment>
    <x:comment ref="D15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Сценарное допущение; не текущий курс валют.</x:t>
        </x:r>
      </x:text>
    </x:comment>
    <x:comment ref="B16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https://openrouter.ai/openai/gpt-4o-mini. 05.09.2026. Официальный каталог OpenRouter, проверено 05.09.2026.</x:t>
        </x:r>
      </x:text>
    </x:comment>
    <x:comment ref="C16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https://openrouter.ai/openai/gpt-4o-mini. 05.09.2026. Официальный каталог OpenRouter, проверено 05.09.2026.</x:t>
        </x:r>
      </x:text>
    </x:comment>
    <x:comment ref="D16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https://openrouter.ai/openai/gpt-4o-mini. 05.09.2026. Официальный каталог OpenRouter, проверено 05.09.2026.</x:t>
        </x:r>
      </x:text>
    </x:comment>
    <x:comment ref="B17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https://openrouter.ai/openai/gpt-4o-mini. 05.09.2026. Официальный каталог OpenRouter, проверено 05.09.2026.</x:t>
        </x:r>
      </x:text>
    </x:comment>
    <x:comment ref="C17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https://openrouter.ai/openai/gpt-4o-mini. 05.09.2026. Официальный каталог OpenRouter, проверено 05.09.2026.</x:t>
        </x:r>
      </x:text>
    </x:comment>
    <x:comment ref="D1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https://openrouter.ai/openai/gpt-4o-mini. 05.09.2026. Официальный каталог OpenRouter, проверено 05.09.2026.</x:t>
        </x:r>
      </x:text>
    </x:comment>
    <x:comment ref="B1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Бюджетный резерв, не заявленная комиссия сервиса.</x:t>
        </x:r>
      </x:text>
    </x:comment>
    <x:comment ref="C18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Бюджетный резерв, не заявленная комиссия сервиса.</x:t>
        </x:r>
      </x:text>
    </x:comment>
    <x:comment ref="D18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Бюджетный резерв, не заявленная комиссия сервиса.</x:t>
        </x:r>
      </x:text>
    </x:comment>
    <x:comment ref="B19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Сервер, база, резервные копии: гипотеза распределения.</x:t>
        </x:r>
      </x:text>
    </x:comment>
    <x:comment ref="C19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Сервер, база, резервные копии: гипотеза распределения.</x:t>
        </x:r>
      </x:text>
    </x:comment>
    <x:comment ref="D19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Сервер, база, резервные копии: гипотеза распределения.</x:t>
        </x:r>
      </x:text>
    </x:comment>
    <x:comment ref="B20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Резерв; реальная лицензия может стоить существенно больше.</x:t>
        </x:r>
      </x:text>
    </x:comment>
    <x:comment ref="C20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Резерв; реальная лицензия может стоить существенно больше.</x:t>
        </x:r>
      </x:text>
    </x:comment>
    <x:comment ref="D20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Резерв; реальная лицензия может стоить существенно больше.</x:t>
        </x:r>
      </x:text>
    </x:comment>
    <x:comment ref="B21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Включённое сопровождение; не смешивать с развитием продукта.</x:t>
        </x:r>
      </x:text>
    </x:comment>
    <x:comment ref="C21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Включённое сопровождение; не смешивать с развитием продукта.</x:t>
        </x:r>
      </x:text>
    </x:comment>
    <x:comment ref="D21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Включённое сопровождение; не смешивать с развитием продукта.</x:t>
        </x:r>
      </x:text>
    </x:comment>
    <x:comment ref="B22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Полная стоимость труда; гипотеза.</x:t>
        </x:r>
      </x:text>
    </x:comment>
    <x:comment ref="C22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Полная стоимость труда; гипотеза.</x:t>
        </x:r>
      </x:text>
    </x:comment>
    <x:comment ref="D2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Полная стоимость труда; гипотеза.</x:t>
        </x:r>
      </x:text>
    </x:comment>
    <x:comment ref="B2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Выборочная проверка; не ручной анализ всех статей.</x:t>
        </x:r>
      </x:text>
    </x:comment>
    <x:comment ref="C2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Выборочная проверка; не ручной анализ всех статей.</x:t>
        </x:r>
      </x:text>
    </x:comment>
    <x:comment ref="D2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Выборочная проверка; не ручной анализ всех статей.</x:t>
        </x:r>
      </x:text>
    </x:comment>
    <x:comment ref="B24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Гипотеза полной стоимости труда.</x:t>
        </x:r>
      </x:text>
    </x:comment>
    <x:comment ref="C24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Гипотеза полной стоимости труда.</x:t>
        </x:r>
      </x:text>
    </x:comment>
    <x:comment ref="D24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Гипотеза полной стоимости труда.</x:t>
        </x:r>
      </x:text>
    </x:comment>
    <x:comment ref="B25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Резерв на расчёты с клиентом; не тариф банка.</x:t>
        </x:r>
      </x:text>
    </x:comment>
    <x:comment ref="C25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Резерв на расчёты с клиентом; не тариф банка.</x:t>
        </x:r>
      </x:text>
    </x:comment>
    <x:comment ref="D25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Резерв на расчёты с клиентом; не тариф банка.</x:t>
        </x:r>
      </x:text>
    </x:comment>
    <x:comment ref="B26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Сценарный logo churn; фактических когорт нет.</x:t>
        </x:r>
      </x:text>
    </x:comment>
    <x:comment ref="C26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Сценарный logo churn; фактических когорт нет.</x:t>
        </x:r>
      </x:text>
    </x:comment>
    <x:comment ref="D26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Сценарный logo churn; фактических когорт нет.</x:t>
        </x:r>
      </x:text>
    </x:comment>
    <x:comment ref="B27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LTV ограничен 24 месяцами; не вечная рента.</x:t>
        </x:r>
      </x:text>
    </x:comment>
    <x:comment ref="C27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LTV ограничен 24 месяцами; не вечная рента.</x:t>
        </x:r>
      </x:text>
    </x:comment>
    <x:comment ref="D27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LTV ограничен 24 месяцами; не вечная рента.</x:t>
        </x:r>
      </x:text>
    </x:comment>
    <x:comment ref="B28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Согласована проблема, есть покупатель и потенциальный бюджет.</x:t>
        </x:r>
      </x:text>
    </x:comment>
    <x:comment ref="C28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Согласована проблема, есть покупатель и потенциальный бюджет.</x:t>
        </x:r>
      </x:text>
    </x:comment>
    <x:comment ref="D28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Согласована проблема, есть покупатель и потенциальный бюджет.</x:t>
        </x:r>
      </x:text>
    </x:comment>
    <x:comment ref="B29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Гипотеза воронки; допускаются ожидаемые дробные значения.</x:t>
        </x:r>
      </x:text>
    </x:comment>
    <x:comment ref="C29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Гипотеза воронки; допускаются ожидаемые дробные значения.</x:t>
        </x:r>
      </x:text>
    </x:comment>
    <x:comment ref="D29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Гипотеза воронки; допускаются ожидаемые дробные значения.</x:t>
        </x:r>
      </x:text>
    </x:comment>
    <x:comment ref="B30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Пилот начинается в месяце квалификации.</x:t>
        </x:r>
      </x:text>
    </x:comment>
    <x:comment ref="C30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Пилот начинается в месяце квалификации.</x:t>
        </x:r>
      </x:text>
    </x:comment>
    <x:comment ref="D30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Пилот начинается в месяце квалификации.</x:t>
        </x:r>
      </x:text>
    </x:comment>
    <x:comment ref="B31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Применяется к пилотам после указанного лага.</x:t>
        </x:r>
      </x:text>
    </x:comment>
    <x:comment ref="C31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Применяется к пилотам после указанного лага.</x:t>
        </x:r>
      </x:text>
    </x:comment>
    <x:comment ref="D31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Применяется к пилотам после указанного лага.</x:t>
        </x:r>
      </x:text>
    </x:comment>
    <x:comment ref="B32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Упрощение цикла закупки; лидогенерация до квалификации в CAC.</x:t>
        </x:r>
      </x:text>
    </x:comment>
    <x:comment ref="C32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Упрощение цикла закупки; лидогенерация до квалификации в CAC.</x:t>
        </x:r>
      </x:text>
    </x:comment>
    <x:comment ref="D32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Упрощение цикла закупки; лидогенерация до квалификации в CAC.</x:t>
        </x:r>
      </x:text>
    </x:comment>
    <x:comment ref="B33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Включает продажи, контент, время встреч; не включено в fixed OPEX.</x:t>
        </x:r>
      </x:text>
    </x:comment>
    <x:comment ref="C33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Включает продажи, контент, время встреч; не включено в fixed OPEX.</x:t>
        </x:r>
      </x:text>
    </x:comment>
    <x:comment ref="D33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Включает продажи, контент, время встреч; не включено в fixed OPEX.</x:t>
        </x:r>
      </x:text>
    </x:comment>
    <x:comment ref="B34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Оплачивается по стоимости часа поддержки.</x:t>
        </x:r>
      </x:text>
    </x:comment>
    <x:comment ref="C34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Оплачивается по стоимости часа поддержки.</x:t>
        </x:r>
      </x:text>
    </x:comment>
    <x:comment ref="D34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Оплачивается по стоимости часа поддержки.</x:t>
        </x:r>
      </x:text>
    </x:comment>
    <x:comment ref="B35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Отдельно от работ по пилоту.</x:t>
        </x:r>
      </x:text>
    </x:comment>
    <x:comment ref="C35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Отдельно от работ по пилоту.</x:t>
        </x:r>
      </x:text>
    </x:comment>
    <x:comment ref="D35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Отдельно от работ по пилоту.</x:t>
        </x:r>
      </x:text>
    </x:comment>
    <x:comment ref="B36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Полная стоимость команды разработки; гипотеза.</x:t>
        </x:r>
      </x:text>
    </x:comment>
    <x:comment ref="C36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Полная стоимость команды разработки; гипотеза.</x:t>
        </x:r>
      </x:text>
    </x:comment>
    <x:comment ref="D36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Полная стоимость команды разработки; гипотеза.</x:t>
        </x:r>
      </x:text>
    </x:comment>
    <x:comment ref="B37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Продуктовая работа, без времени продаж и поддержки.</x:t>
        </x:r>
      </x:text>
    </x:comment>
    <x:comment ref="C37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Продуктовая работа, без времени продаж и поддержки.</x:t>
        </x:r>
      </x:text>
    </x:comment>
    <x:comment ref="D37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Продуктовая работа, без времени продаж и поддержки.</x:t>
        </x:r>
      </x:text>
    </x:comment>
    <x:comment ref="B38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Общие dev-сервисы и мониторинг, сверх клиентского COGS.</x:t>
        </x:r>
      </x:text>
    </x:comment>
    <x:comment ref="C38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Общие dev-сервисы и мониторинг, сверх клиентского COGS.</x:t>
        </x:r>
      </x:text>
    </x:comment>
    <x:comment ref="D38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Общие dev-сервисы и мониторинг, сверх клиентского COGS.</x:t>
        </x:r>
      </x:text>
    </x:comment>
    <x:comment ref="B39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Учёт, договоры, прочие расходы; гипотеза.</x:t>
        </x:r>
      </x:text>
    </x:comment>
    <x:comment ref="C39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Учёт, договоры, прочие расходы; гипотеза.</x:t>
        </x:r>
      </x:text>
    </x:comment>
    <x:comment ref="D39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Учёт, договоры, прочие расходы; гипотеза.</x:t>
        </x:r>
      </x:text>
    </x:comment>
    <x:comment ref="B40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Условное финансирование модели, не фактически привлечённые деньги.</x:t>
        </x:r>
      </x:text>
    </x:comment>
    <x:comment ref="C40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Условное финансирование модели, не фактически привлечённые деньги.</x:t>
        </x:r>
      </x:text>
    </x:comment>
    <x:comment ref="D40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Условное финансирование модели, не фактически привлечённые деньги.</x:t>
        </x:r>
      </x:text>
    </x:comment>
    <x:comment ref="B41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Не включают уже учтённый ежемесячный труд.</x:t>
        </x:r>
      </x:text>
    </x:comment>
    <x:comment ref="C41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Не включают уже учтённый ежемесячный труд.</x:t>
        </x:r>
      </x:text>
    </x:comment>
    <x:comment ref="D41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Не включают уже учтённый ежемесячный труд.</x:t>
        </x:r>
      </x:text>
    </x:comment>
    <x:comment ref="B42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Консервативно: помесячный биллинг. Годовой аванс не учтён.</x:t>
        </x:r>
      </x:text>
    </x:comment>
    <x:comment ref="C42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Консервативно: помесячный биллинг. Годовой аванс не учтён.</x:t>
        </x:r>
      </x:text>
    </x:comment>
    <x:comment ref="D42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Авторское сценарное допущение, не факт проекта. 05.09.2026. Консервативно: помесячный биллинг. Годовой аванс не учтён.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[Red](#,##0);&quot;–&quot;"/>
    <x:numFmt numFmtId="201" formatCode="0.0%;[Red](0.0%);&quot;–&quot;"/>
    <x:numFmt numFmtId="202" formatCode="0.00"/>
    <x:numFmt numFmtId="203" formatCode="0"/>
    <x:numFmt numFmtId="204" formatCode="mmm yyyy"/>
    <x:numFmt numFmtId="205" formatCode="#,##0.0;[Red](#,##0.0);&quot;–&quot;"/>
    <x:numFmt numFmtId="206" formatCode="0.0"/>
  </x:numFmts>
  <x:fonts count="8">
    <x:font>
      <x:sz val="11"/>
      <x:name val="Carlito"/>
    </x:font>
    <x:font>
      <x:sz val="11"/>
      <x:color rgb="FF183139"/>
      <x:name val="Aptos"/>
    </x:font>
    <x:font>
      <x:b/>
      <x:sz val="23"/>
      <x:color rgb="FFFFFFFF"/>
      <x:name val="Aptos"/>
    </x:font>
    <x:font>
      <x:sz val="10"/>
      <x:color rgb="FF64757C"/>
      <x:name val="Aptos"/>
    </x:font>
    <x:font>
      <x:b/>
      <x:sz val="11"/>
      <x:color rgb="FF183139"/>
      <x:name val="Aptos"/>
    </x:font>
    <x:font>
      <x:sz val="11"/>
      <x:color rgb="FF111111"/>
      <x:name val="Aptos"/>
    </x:font>
    <x:font>
      <x:sz val="11"/>
      <x:color rgb="FF245FB5"/>
      <x:name val="Aptos"/>
    </x:font>
    <x:font>
      <x:sz val="12"/>
      <x:color rgb="FF183139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83139"/>
      </x:patternFill>
    </x:fill>
    <x:fill>
      <x:patternFill patternType="solid">
        <x:fgColor rgb="FFE8F1ED"/>
      </x:patternFill>
    </x:fill>
    <x:fill>
      <x:patternFill patternType="solid">
        <x:fgColor rgb="FFF0F5FF"/>
      </x:patternFill>
    </x:fill>
    <x:fill>
      <x:patternFill patternType="solid">
        <x:fgColor rgb="FFF3F6F4"/>
      </x:patternFill>
    </x:fill>
    <x:fill>
      <x:patternFill patternType="solid">
        <x:fgColor rgb="FFFFFFFF"/>
      </x:patternFill>
    </x:fill>
    <x:fill>
      <x:patternFill patternType="solid">
        <x:fgColor rgb="FFF6E7DD"/>
      </x:patternFill>
    </x:fill>
  </x:fills>
  <x:borders count="1">
    <x:border/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2" fontId="6" fillId="4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5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200" fontId="5" fillId="7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A3B27"/>
      </x:font>
      <x:fill>
        <x:patternFill patternType="solid">
          <x:bgColor rgb="FFF9E8E2"/>
        </x:patternFill>
      </x:fill>
    </x:dxf>
    <x:dxf>
      <x:font>
        <x:color rgb="FF9A3B27"/>
      </x:font>
      <x:fill>
        <x:patternFill patternType="solid">
          <x:bgColor rgb="FFF9E8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184f9d89e42e3" /><Relationship Type="http://schemas.openxmlformats.org/officeDocument/2006/relationships/theme" Target="/xl/theme/theme1.xml" Id="R5c45e0dae1e34a49" /><Relationship Type="http://schemas.openxmlformats.org/officeDocument/2006/relationships/sharedStrings" Target="/xl/sharedStrings.xml" Id="R5232c551b80c4338" /><Relationship Type="http://schemas.openxmlformats.org/officeDocument/2006/relationships/worksheet" Target="/xl/worksheets/sheet1.xml" Id="Rb8946995e99e4d57" /><Relationship Type="http://schemas.openxmlformats.org/officeDocument/2006/relationships/worksheet" Target="/xl/worksheets/sheet2.xml" Id="Rb184dbd2051b4289" /><Relationship Type="http://schemas.openxmlformats.org/officeDocument/2006/relationships/worksheet" Target="/xl/worksheets/sheet3.xml" Id="R7cd0c14389df4795" /><Relationship Type="http://schemas.openxmlformats.org/officeDocument/2006/relationships/worksheet" Target="/xl/worksheets/sheet4.xml" Id="Raedf7a9a263a4ac4" /><Relationship Type="http://schemas.openxmlformats.org/officeDocument/2006/relationships/worksheet" Target="/xl/worksheets/sheet5.xml" Id="R32fd95bac29f4879" /><Relationship Type="http://schemas.openxmlformats.org/officeDocument/2006/relationships/worksheet" Target="/xl/worksheets/sheet6.xml" Id="Rb30340f42b1e441b" /><Relationship Type="http://schemas.openxmlformats.org/officeDocument/2006/relationships/worksheet" Target="/xl/worksheets/sheet7.xml" Id="R7b24fb12c05a4e21" /><Relationship Type="http://schemas.openxmlformats.org/officeDocument/2006/relationships/worksheet" Target="/xl/worksheets/sheet8.xml" Id="Re5271d9c019e4dd0" /><Relationship Type="http://schemas.openxmlformats.org/officeDocument/2006/relationships/worksheet" Target="/xl/worksheets/sheet9.xml" Id="Re0e5b054c1df4119" /><Relationship Type="http://schemas.microsoft.com/office/2017/10/relationships/person" Target="/xl/persons/person.xml" Id="Rc0d0006d06ff41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7ee824cc7d4b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MRR · ₽ в месяц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MRR</c:v>
          </c:tx>
          <c:spPr>
            <a:solidFill xmlns:a="http://schemas.openxmlformats.org/drawingml/2006/main">
              <a:srgbClr val="167266"/>
            </a:solidFill>
          </c:spPr>
          <c:marker>
            <c:symbol val="none"/>
          </c:marker>
          <c:cat>
            <c:strRef>
              <c:f>'Обзор'!$A$29:$A$40</c:f>
              <c:strCache>
                <c:ptCount val="0"/>
              </c:strCache>
            </c:strRef>
          </c:cat>
          <c:val>
            <c:numRef>
              <c:f>'Обзор'!$B$29:$B$40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7ee824cc7d4b7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F15B8B57-EE53-4066-A4EB-B290E6F1811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9-05T13:01:21.931" personId="{F15B8B57-EE53-4066-A4EB-B290E6F1811B}" id="{509ED1DD-A6C3-45D6-A3F3-A8D8498D220C}">
    <xltc:text>Источник: Авторское сценарное допущение, не факт проекта. 05.09.2026. Гипотеза цены: проверить в 10 интервью и 3 платных пилотах.</xltc:text>
  </xltc:threadedComment>
  <xltc:threadedComment ref="C7" dT="2026-09-05T13:01:21.931" personId="{F15B8B57-EE53-4066-A4EB-B290E6F1811B}" id="{F870DF7B-92FA-4FD2-BA85-A7DC8493024B}">
    <xltc:text>Источник: Авторское сценарное допущение, не факт проекта. 05.09.2026. Гипотеза цены: проверить в 10 интервью и 3 платных пилотах.</xltc:text>
  </xltc:threadedComment>
  <xltc:threadedComment ref="D7" dT="2026-09-05T13:01:21.931" personId="{F15B8B57-EE53-4066-A4EB-B290E6F1811B}" id="{E0AA8857-F6C9-47DC-A3C2-D59560F97425}">
    <xltc:text>Источник: Авторское сценарное допущение, не факт проекта. 05.09.2026. Гипотеза цены: проверить в 10 интервью и 3 платных пилотах.</xltc:text>
  </xltc:threadedComment>
  <xltc:threadedComment ref="B8" dT="2026-09-05T13:01:21.986" personId="{F15B8B57-EE53-4066-A4EB-B290E6F1811B}" id="{244B7F94-7E9D-41D8-92C2-318372A944E2}">
    <xltc:text>Источник: Авторское сценарное допущение, не факт проекта. 05.09.2026. Разовый пилот; его выручка не входит в MRR.</xltc:text>
  </xltc:threadedComment>
  <xltc:threadedComment ref="C8" dT="2026-09-05T13:01:21.986" personId="{F15B8B57-EE53-4066-A4EB-B290E6F1811B}" id="{A4808444-FBA4-48B5-B3CB-D01596FEDFC1}">
    <xltc:text>Источник: Авторское сценарное допущение, не факт проекта. 05.09.2026. Разовый пилот; его выручка не входит в MRR.</xltc:text>
  </xltc:threadedComment>
  <xltc:threadedComment ref="D8" dT="2026-09-05T13:01:21.986" personId="{F15B8B57-EE53-4066-A4EB-B290E6F1811B}" id="{E7682E2F-2175-4ADF-981D-0A66CEE04BFE}">
    <xltc:text>Источник: Авторское сценарное допущение, не факт проекта. 05.09.2026. Разовый пилот; его выручка не входит в MRR.</xltc:text>
  </xltc:threadedComment>
  <xltc:threadedComment ref="B9" dT="2026-09-05T13:01:21.993" personId="{F15B8B57-EE53-4066-A4EB-B290E6F1811B}" id="{629C47D9-1206-4EEA-A81E-6EA99BFC0A74}">
    <xltc:text>Источник: Авторское сценарное допущение, не факт проекта. 05.09.2026. Разовое подключение в начале подписки.</xltc:text>
  </xltc:threadedComment>
  <xltc:threadedComment ref="C9" dT="2026-09-05T13:01:21.993" personId="{F15B8B57-EE53-4066-A4EB-B290E6F1811B}" id="{ADECF2DC-F362-40CB-9BC4-A08D55C4D1F5}">
    <xltc:text>Источник: Авторское сценарное допущение, не факт проекта. 05.09.2026. Разовое подключение в начале подписки.</xltc:text>
  </xltc:threadedComment>
  <xltc:threadedComment ref="D9" dT="2026-09-05T13:01:21.993" personId="{F15B8B57-EE53-4066-A4EB-B290E6F1811B}" id="{95B267F5-43FB-419C-9065-348B8BF236A1}">
    <xltc:text>Источник: Авторское сценарное допущение, не факт проекта. 05.09.2026. Разовое подключение в начале подписки.</xltc:text>
  </xltc:threadedComment>
  <xltc:threadedComment ref="B10" dT="2026-09-05T13:01:21.995" personId="{F15B8B57-EE53-4066-A4EB-B290E6F1811B}" id="{A8E8DC2B-AB3E-4111-81C1-FAF216E3C145}">
    <xltc:text>Источник: Авторское сценарное допущение, не факт проекта. 05.09.2026. Рабочий лимит Team. Проверить по реальным запускам.</xltc:text>
  </xltc:threadedComment>
  <xltc:threadedComment ref="C10" dT="2026-09-05T13:01:21.995" personId="{F15B8B57-EE53-4066-A4EB-B290E6F1811B}" id="{F45120C8-1F92-4C16-9BD4-969A249943C6}">
    <xltc:text>Источник: Авторское сценарное допущение, не факт проекта. 05.09.2026. Рабочий лимит Team. Проверить по реальным запускам.</xltc:text>
  </xltc:threadedComment>
  <xltc:threadedComment ref="D10" dT="2026-09-05T13:01:21.995" personId="{F15B8B57-EE53-4066-A4EB-B290E6F1811B}" id="{60512EEF-E5AD-4FD1-B744-9C7C36238299}">
    <xltc:text>Источник: Авторское сценарное допущение, не факт проекта. 05.09.2026. Рабочий лимит Team. Проверить по реальным запускам.</xltc:text>
  </xltc:threadedComment>
  <xltc:threadedComment ref="B11" dT="2026-09-05T13:01:21.997" personId="{F15B8B57-EE53-4066-A4EB-B290E6F1811B}" id="{785D944A-3DE6-4561-8458-FE36992D104E}">
    <xltc:text>Источник: Авторское сценарное допущение, не факт проекта. 05.09.2026. Остальное берётся из кэша; экономия пока гипотеза.</xltc:text>
  </xltc:threadedComment>
  <xltc:threadedComment ref="C11" dT="2026-09-05T13:01:21.997" personId="{F15B8B57-EE53-4066-A4EB-B290E6F1811B}" id="{C332D961-15D3-4E53-9F15-3448F9F23B95}">
    <xltc:text>Источник: Авторское сценарное допущение, не факт проекта. 05.09.2026. Остальное берётся из кэша; экономия пока гипотеза.</xltc:text>
  </xltc:threadedComment>
  <xltc:threadedComment ref="D11" dT="2026-09-05T13:01:21.997" personId="{F15B8B57-EE53-4066-A4EB-B290E6F1811B}" id="{370F46C9-BCE1-448B-A5ED-6E7C8AA81AAC}">
    <xltc:text>Источник: Авторское сценарное допущение, не факт проекта. 05.09.2026. Остальное берётся из кэша; экономия пока гипотеза.</xltc:text>
  </xltc:threadedComment>
  <xltc:threadedComment ref="B12" dT="2026-09-05T13:01:21.998" personId="{F15B8B57-EE53-4066-A4EB-B290E6F1811B}" id="{F5DABD36-47A7-4161-87C1-02E34DE13EB7}">
    <xltc:text>Источник: Авторское сценарное допущение, не факт проекта. 05.09.2026. Включает долю системного промпта на статью.</xltc:text>
  </xltc:threadedComment>
  <xltc:threadedComment ref="C12" dT="2026-09-05T13:01:21.998" personId="{F15B8B57-EE53-4066-A4EB-B290E6F1811B}" id="{81BD103F-E1D3-44E8-A673-F0E85BC6678F}">
    <xltc:text>Источник: Авторское сценарное допущение, не факт проекта. 05.09.2026. Включает долю системного промпта на статью.</xltc:text>
  </xltc:threadedComment>
  <xltc:threadedComment ref="D12" dT="2026-09-05T13:01:21.998" personId="{F15B8B57-EE53-4066-A4EB-B290E6F1811B}" id="{8CEC3F90-66C5-4D79-BE94-52AFE2F1F202}">
    <xltc:text>Источник: Авторское сценарное допущение, не факт проекта. 05.09.2026. Включает долю системного промпта на статью.</xltc:text>
  </xltc:threadedComment>
  <xltc:threadedComment ref="B13" dT="2026-09-05T13:01:22" personId="{F15B8B57-EE53-4066-A4EB-B290E6F1811B}" id="{7C938561-AC39-4780-B5B7-ABD3127F2A71}">
    <xltc:text>Источник: Авторское сценарное допущение, не факт проекта. 05.09.2026. Среднее, не лимит max_tokens. Нужно измерение.</xltc:text>
  </xltc:threadedComment>
  <xltc:threadedComment ref="C13" dT="2026-09-05T13:01:22" personId="{F15B8B57-EE53-4066-A4EB-B290E6F1811B}" id="{CB31D42C-50F7-4883-B085-AECB8471B34A}">
    <xltc:text>Источник: Авторское сценарное допущение, не факт проекта. 05.09.2026. Среднее, не лимит max_tokens. Нужно измерение.</xltc:text>
  </xltc:threadedComment>
  <xltc:threadedComment ref="D13" dT="2026-09-05T13:01:22" personId="{F15B8B57-EE53-4066-A4EB-B290E6F1811B}" id="{73989984-ABAD-4790-B254-D21900E4C9F5}">
    <xltc:text>Источник: Авторское сценарное допущение, не факт проекта. 05.09.2026. Среднее, не лимит max_tokens. Нужно измерение.</xltc:text>
  </xltc:threadedComment>
  <xltc:threadedComment ref="B14" dT="2026-09-05T13:01:22.001" personId="{F15B8B57-EE53-4066-A4EB-B290E6F1811B}" id="{136F9A69-3FFB-4403-ADB9-55E4DBF5AE08}">
    <xltc:text>Источник: Авторское сценарное допущение, не факт проекта. 05.09.2026. Резерв на повторы и неудачные запросы.</xltc:text>
  </xltc:threadedComment>
  <xltc:threadedComment ref="C14" dT="2026-09-05T13:01:22.001" personId="{F15B8B57-EE53-4066-A4EB-B290E6F1811B}" id="{B01BB3C1-BE1D-4738-8C94-2C7F48D1813B}">
    <xltc:text>Источник: Авторское сценарное допущение, не факт проекта. 05.09.2026. Резерв на повторы и неудачные запросы.</xltc:text>
  </xltc:threadedComment>
  <xltc:threadedComment ref="D14" dT="2026-09-05T13:01:22.001" personId="{F15B8B57-EE53-4066-A4EB-B290E6F1811B}" id="{416C9200-6AE7-4EB8-861E-DA3DE79CDBE1}">
    <xltc:text>Источник: Авторское сценарное допущение, не факт проекта. 05.09.2026. Резерв на повторы и неудачные запросы.</xltc:text>
  </xltc:threadedComment>
  <xltc:threadedComment ref="B15" dT="2026-09-05T13:01:22.003" personId="{F15B8B57-EE53-4066-A4EB-B290E6F1811B}" id="{73EFE87F-398E-44CD-9384-ED968EF5AE25}">
    <xltc:text>Источник: Авторское сценарное допущение, не факт проекта. 05.09.2026. Сценарное допущение; не текущий курс валют.</xltc:text>
  </xltc:threadedComment>
  <xltc:threadedComment ref="C15" dT="2026-09-05T13:01:22.003" personId="{F15B8B57-EE53-4066-A4EB-B290E6F1811B}" id="{FA494C83-707B-493A-B5D4-78D34B349361}">
    <xltc:text>Источник: Авторское сценарное допущение, не факт проекта. 05.09.2026. Сценарное допущение; не текущий курс валют.</xltc:text>
  </xltc:threadedComment>
  <xltc:threadedComment ref="D15" dT="2026-09-05T13:01:22.003" personId="{F15B8B57-EE53-4066-A4EB-B290E6F1811B}" id="{AA17E521-48E7-4CAB-B0D6-54EC125492FF}">
    <xltc:text>Источник: Авторское сценарное допущение, не факт проекта. 05.09.2026. Сценарное допущение; не текущий курс валют.</xltc:text>
  </xltc:threadedComment>
  <xltc:threadedComment ref="B16" dT="2026-09-05T13:01:22.006" personId="{F15B8B57-EE53-4066-A4EB-B290E6F1811B}" id="{35539CA5-ECC2-4D12-8F5B-C20FC947172C}">
    <xltc:text>Источник: https://openrouter.ai/openai/gpt-4o-mini. 05.09.2026. Официальный каталог OpenRouter, проверено 05.09.2026.</xltc:text>
  </xltc:threadedComment>
  <xltc:threadedComment ref="C16" dT="2026-09-05T13:01:22.006" personId="{F15B8B57-EE53-4066-A4EB-B290E6F1811B}" id="{B1ACB22F-94D4-4EBF-8634-8D28B05B83A4}">
    <xltc:text>Источник: https://openrouter.ai/openai/gpt-4o-mini. 05.09.2026. Официальный каталог OpenRouter, проверено 05.09.2026.</xltc:text>
  </xltc:threadedComment>
  <xltc:threadedComment ref="D16" dT="2026-09-05T13:01:22.006" personId="{F15B8B57-EE53-4066-A4EB-B290E6F1811B}" id="{81BDDBDF-87EE-4716-9F24-CAA0E1BEE6E7}">
    <xltc:text>Источник: https://openrouter.ai/openai/gpt-4o-mini. 05.09.2026. Официальный каталог OpenRouter, проверено 05.09.2026.</xltc:text>
  </xltc:threadedComment>
  <xltc:threadedComment ref="B17" dT="2026-09-05T13:01:22.008" personId="{F15B8B57-EE53-4066-A4EB-B290E6F1811B}" id="{6B664736-D4E7-4C5F-AA90-724C4E59296B}">
    <xltc:text>Источник: https://openrouter.ai/openai/gpt-4o-mini. 05.09.2026. Официальный каталог OpenRouter, проверено 05.09.2026.</xltc:text>
  </xltc:threadedComment>
  <xltc:threadedComment ref="C17" dT="2026-09-05T13:01:22.008" personId="{F15B8B57-EE53-4066-A4EB-B290E6F1811B}" id="{18B95488-DF00-44CD-B587-F4E761D73CBC}">
    <xltc:text>Источник: https://openrouter.ai/openai/gpt-4o-mini. 05.09.2026. Официальный каталог OpenRouter, проверено 05.09.2026.</xltc:text>
  </xltc:threadedComment>
  <xltc:threadedComment ref="D17" dT="2026-09-05T13:01:22.008" personId="{F15B8B57-EE53-4066-A4EB-B290E6F1811B}" id="{B6B7FCF2-BE79-4289-B403-8288F64EF67A}">
    <xltc:text>Источник: https://openrouter.ai/openai/gpt-4o-mini. 05.09.2026. Официальный каталог OpenRouter, проверено 05.09.2026.</xltc:text>
  </xltc:threadedComment>
  <xltc:threadedComment ref="B18" dT="2026-09-05T13:01:22.011" personId="{F15B8B57-EE53-4066-A4EB-B290E6F1811B}" id="{8D467D78-DC1D-4D55-8450-CF4C05614954}">
    <xltc:text>Источник: Авторское сценарное допущение, не факт проекта. 05.09.2026. Бюджетный резерв, не заявленная комиссия сервиса.</xltc:text>
  </xltc:threadedComment>
  <xltc:threadedComment ref="C18" dT="2026-09-05T13:01:22.011" personId="{F15B8B57-EE53-4066-A4EB-B290E6F1811B}" id="{08EFDB38-B0C5-41F3-A3B8-6E5AEC5372A7}">
    <xltc:text>Источник: Авторское сценарное допущение, не факт проекта. 05.09.2026. Бюджетный резерв, не заявленная комиссия сервиса.</xltc:text>
  </xltc:threadedComment>
  <xltc:threadedComment ref="D18" dT="2026-09-05T13:01:22.011" personId="{F15B8B57-EE53-4066-A4EB-B290E6F1811B}" id="{66602D6A-7038-4F7D-A241-A3B6EE74D9A7}">
    <xltc:text>Источник: Авторское сценарное допущение, не факт проекта. 05.09.2026. Бюджетный резерв, не заявленная комиссия сервиса.</xltc:text>
  </xltc:threadedComment>
  <xltc:threadedComment ref="B19" dT="2026-09-05T13:01:22.012" personId="{F15B8B57-EE53-4066-A4EB-B290E6F1811B}" id="{776B61E0-5116-4547-A2BA-55CE00889C1F}">
    <xltc:text>Источник: Авторское сценарное допущение, не факт проекта. 05.09.2026. Сервер, база, резервные копии: гипотеза распределения.</xltc:text>
  </xltc:threadedComment>
  <xltc:threadedComment ref="C19" dT="2026-09-05T13:01:22.012" personId="{F15B8B57-EE53-4066-A4EB-B290E6F1811B}" id="{606D2D60-F701-490E-8646-EA9FFACA7D13}">
    <xltc:text>Источник: Авторское сценарное допущение, не факт проекта. 05.09.2026. Сервер, база, резервные копии: гипотеза распределения.</xltc:text>
  </xltc:threadedComment>
  <xltc:threadedComment ref="D19" dT="2026-09-05T13:01:22.012" personId="{F15B8B57-EE53-4066-A4EB-B290E6F1811B}" id="{7CB2C1E4-08B2-4059-8FF4-2656858264CE}">
    <xltc:text>Источник: Авторское сценарное допущение, не факт проекта. 05.09.2026. Сервер, база, резервные копии: гипотеза распределения.</xltc:text>
  </xltc:threadedComment>
  <xltc:threadedComment ref="B20" dT="2026-09-05T13:01:22.013" personId="{F15B8B57-EE53-4066-A4EB-B290E6F1811B}" id="{0E7C2856-94BD-46C4-8A30-1CA78820127E}">
    <xltc:text>Источник: Авторское сценарное допущение, не факт проекта. 05.09.2026. Резерв; реальная лицензия может стоить существенно больше.</xltc:text>
  </xltc:threadedComment>
  <xltc:threadedComment ref="C20" dT="2026-09-05T13:01:22.013" personId="{F15B8B57-EE53-4066-A4EB-B290E6F1811B}" id="{9CB91D71-3DB8-44B1-A1E3-6017DB4F0B49}">
    <xltc:text>Источник: Авторское сценарное допущение, не факт проекта. 05.09.2026. Резерв; реальная лицензия может стоить существенно больше.</xltc:text>
  </xltc:threadedComment>
  <xltc:threadedComment ref="D20" dT="2026-09-05T13:01:22.013" personId="{F15B8B57-EE53-4066-A4EB-B290E6F1811B}" id="{E084BA39-A874-43C4-A502-BDDB11196919}">
    <xltc:text>Источник: Авторское сценарное допущение, не факт проекта. 05.09.2026. Резерв; реальная лицензия может стоить существенно больше.</xltc:text>
  </xltc:threadedComment>
  <xltc:threadedComment ref="B21" dT="2026-09-05T13:01:22.017" personId="{F15B8B57-EE53-4066-A4EB-B290E6F1811B}" id="{C5B7DB7E-F247-4964-9530-2E77B99BB34D}">
    <xltc:text>Источник: Авторское сценарное допущение, не факт проекта. 05.09.2026. Включённое сопровождение; не смешивать с развитием продукта.</xltc:text>
  </xltc:threadedComment>
  <xltc:threadedComment ref="C21" dT="2026-09-05T13:01:22.017" personId="{F15B8B57-EE53-4066-A4EB-B290E6F1811B}" id="{0FBF256F-8810-44AD-9CDA-E88DD858FEBC}">
    <xltc:text>Источник: Авторское сценарное допущение, не факт проекта. 05.09.2026. Включённое сопровождение; не смешивать с развитием продукта.</xltc:text>
  </xltc:threadedComment>
  <xltc:threadedComment ref="D21" dT="2026-09-05T13:01:22.017" personId="{F15B8B57-EE53-4066-A4EB-B290E6F1811B}" id="{83A90548-A009-4338-BF4D-19694E8DE7C6}">
    <xltc:text>Источник: Авторское сценарное допущение, не факт проекта. 05.09.2026. Включённое сопровождение; не смешивать с развитием продукта.</xltc:text>
  </xltc:threadedComment>
  <xltc:threadedComment ref="B22" dT="2026-09-05T13:01:22.018" personId="{F15B8B57-EE53-4066-A4EB-B290E6F1811B}" id="{0C7C0A94-07E1-4130-A327-3124FB05AEF4}">
    <xltc:text>Источник: Авторское сценарное допущение, не факт проекта. 05.09.2026. Полная стоимость труда; гипотеза.</xltc:text>
  </xltc:threadedComment>
  <xltc:threadedComment ref="C22" dT="2026-09-05T13:01:22.018" personId="{F15B8B57-EE53-4066-A4EB-B290E6F1811B}" id="{E7514548-C313-4728-B0CC-09AC4573336C}">
    <xltc:text>Источник: Авторское сценарное допущение, не факт проекта. 05.09.2026. Полная стоимость труда; гипотеза.</xltc:text>
  </xltc:threadedComment>
  <xltc:threadedComment ref="D22" dT="2026-09-05T13:01:22.018" personId="{F15B8B57-EE53-4066-A4EB-B290E6F1811B}" id="{CF9C0610-821F-49CF-A986-B78B3AB8498F}">
    <xltc:text>Источник: Авторское сценарное допущение, не факт проекта. 05.09.2026. Полная стоимость труда; гипотеза.</xltc:text>
  </xltc:threadedComment>
  <xltc:threadedComment ref="B23" dT="2026-09-05T13:01:22.02" personId="{F15B8B57-EE53-4066-A4EB-B290E6F1811B}" id="{A0B4919B-67E2-4056-BE4D-6A70A9E6015E}">
    <xltc:text>Источник: Авторское сценарное допущение, не факт проекта. 05.09.2026. Выборочная проверка; не ручной анализ всех статей.</xltc:text>
  </xltc:threadedComment>
  <xltc:threadedComment ref="C23" dT="2026-09-05T13:01:22.02" personId="{F15B8B57-EE53-4066-A4EB-B290E6F1811B}" id="{B54725DA-82DB-467C-B461-C77E58A58101}">
    <xltc:text>Источник: Авторское сценарное допущение, не факт проекта. 05.09.2026. Выборочная проверка; не ручной анализ всех статей.</xltc:text>
  </xltc:threadedComment>
  <xltc:threadedComment ref="D23" dT="2026-09-05T13:01:22.02" personId="{F15B8B57-EE53-4066-A4EB-B290E6F1811B}" id="{A9DF6071-91BA-4567-817B-D64D474E9CE4}">
    <xltc:text>Источник: Авторское сценарное допущение, не факт проекта. 05.09.2026. Выборочная проверка; не ручной анализ всех статей.</xltc:text>
  </xltc:threadedComment>
  <xltc:threadedComment ref="B24" dT="2026-09-05T13:01:22.022" personId="{F15B8B57-EE53-4066-A4EB-B290E6F1811B}" id="{5C73B379-4368-4FAA-9691-596B3B94B7D8}">
    <xltc:text>Источник: Авторское сценарное допущение, не факт проекта. 05.09.2026. Гипотеза полной стоимости труда.</xltc:text>
  </xltc:threadedComment>
  <xltc:threadedComment ref="C24" dT="2026-09-05T13:01:22.022" personId="{F15B8B57-EE53-4066-A4EB-B290E6F1811B}" id="{D389A339-92DE-4D79-BBD9-4BFA73A06A17}">
    <xltc:text>Источник: Авторское сценарное допущение, не факт проекта. 05.09.2026. Гипотеза полной стоимости труда.</xltc:text>
  </xltc:threadedComment>
  <xltc:threadedComment ref="D24" dT="2026-09-05T13:01:22.022" personId="{F15B8B57-EE53-4066-A4EB-B290E6F1811B}" id="{A5E62CBB-14D2-4FFC-B471-1151F5E989E5}">
    <xltc:text>Источник: Авторское сценарное допущение, не факт проекта. 05.09.2026. Гипотеза полной стоимости труда.</xltc:text>
  </xltc:threadedComment>
  <xltc:threadedComment ref="B25" dT="2026-09-05T13:01:22.026" personId="{F15B8B57-EE53-4066-A4EB-B290E6F1811B}" id="{817A56DA-1397-4770-9DF2-C503494A1DD8}">
    <xltc:text>Источник: Авторское сценарное допущение, не факт проекта. 05.09.2026. Резерв на расчёты с клиентом; не тариф банка.</xltc:text>
  </xltc:threadedComment>
  <xltc:threadedComment ref="C25" dT="2026-09-05T13:01:22.026" personId="{F15B8B57-EE53-4066-A4EB-B290E6F1811B}" id="{26C6E452-9303-40C2-AF46-3968477C16B5}">
    <xltc:text>Источник: Авторское сценарное допущение, не факт проекта. 05.09.2026. Резерв на расчёты с клиентом; не тариф банка.</xltc:text>
  </xltc:threadedComment>
  <xltc:threadedComment ref="D25" dT="2026-09-05T13:01:22.026" personId="{F15B8B57-EE53-4066-A4EB-B290E6F1811B}" id="{BABF9DC0-0520-44F9-B410-920691AA4C83}">
    <xltc:text>Источник: Авторское сценарное допущение, не факт проекта. 05.09.2026. Резерв на расчёты с клиентом; не тариф банка.</xltc:text>
  </xltc:threadedComment>
  <xltc:threadedComment ref="B26" dT="2026-09-05T13:01:22.028" personId="{F15B8B57-EE53-4066-A4EB-B290E6F1811B}" id="{27B7EE76-3198-44D5-87DD-A5BA040BDCBB}">
    <xltc:text>Источник: Авторское сценарное допущение, не факт проекта. 05.09.2026. Сценарный logo churn; фактических когорт нет.</xltc:text>
  </xltc:threadedComment>
  <xltc:threadedComment ref="C26" dT="2026-09-05T13:01:22.028" personId="{F15B8B57-EE53-4066-A4EB-B290E6F1811B}" id="{16E6AA76-DF3E-480B-B7BC-F57645B8CE09}">
    <xltc:text>Источник: Авторское сценарное допущение, не факт проекта. 05.09.2026. Сценарный logo churn; фактических когорт нет.</xltc:text>
  </xltc:threadedComment>
  <xltc:threadedComment ref="D26" dT="2026-09-05T13:01:22.028" personId="{F15B8B57-EE53-4066-A4EB-B290E6F1811B}" id="{A024E3B4-0027-4E33-80B9-D149687184B3}">
    <xltc:text>Источник: Авторское сценарное допущение, не факт проекта. 05.09.2026. Сценарный logo churn; фактических когорт нет.</xltc:text>
  </xltc:threadedComment>
  <xltc:threadedComment ref="B27" dT="2026-09-05T13:01:22.03" personId="{F15B8B57-EE53-4066-A4EB-B290E6F1811B}" id="{CBC7CD7E-11D2-45BE-95DA-E801A69C3207}">
    <xltc:text>Источник: Авторское сценарное допущение, не факт проекта. 05.09.2026. LTV ограничен 24 месяцами; не вечная рента.</xltc:text>
  </xltc:threadedComment>
  <xltc:threadedComment ref="C27" dT="2026-09-05T13:01:22.03" personId="{F15B8B57-EE53-4066-A4EB-B290E6F1811B}" id="{E6924176-EA6C-4883-9851-6DECBEFD0766}">
    <xltc:text>Источник: Авторское сценарное допущение, не факт проекта. 05.09.2026. LTV ограничен 24 месяцами; не вечная рента.</xltc:text>
  </xltc:threadedComment>
  <xltc:threadedComment ref="D27" dT="2026-09-05T13:01:22.03" personId="{F15B8B57-EE53-4066-A4EB-B290E6F1811B}" id="{7BE726B2-95A2-4E9D-8C15-E48C814CB290}">
    <xltc:text>Источник: Авторское сценарное допущение, не факт проекта. 05.09.2026. LTV ограничен 24 месяцами; не вечная рента.</xltc:text>
  </xltc:threadedComment>
  <xltc:threadedComment ref="B28" dT="2026-09-05T13:01:22.03" personId="{F15B8B57-EE53-4066-A4EB-B290E6F1811B}" id="{6B89DE2B-C41D-4575-80A2-2B60431A4317}">
    <xltc:text>Источник: Авторское сценарное допущение, не факт проекта. 05.09.2026. Согласована проблема, есть покупатель и потенциальный бюджет.</xltc:text>
  </xltc:threadedComment>
  <xltc:threadedComment ref="C28" dT="2026-09-05T13:01:22.031" personId="{F15B8B57-EE53-4066-A4EB-B290E6F1811B}" id="{BBB4F679-323A-4F4B-B97D-37B18FD6FAAA}">
    <xltc:text>Источник: Авторское сценарное допущение, не факт проекта. 05.09.2026. Согласована проблема, есть покупатель и потенциальный бюджет.</xltc:text>
  </xltc:threadedComment>
  <xltc:threadedComment ref="D28" dT="2026-09-05T13:01:22.031" personId="{F15B8B57-EE53-4066-A4EB-B290E6F1811B}" id="{F3A0B1F8-BBBD-47B3-8AA0-12FCA36B6992}">
    <xltc:text>Источник: Авторское сценарное допущение, не факт проекта. 05.09.2026. Согласована проблема, есть покупатель и потенциальный бюджет.</xltc:text>
  </xltc:threadedComment>
  <xltc:threadedComment ref="B29" dT="2026-09-05T13:01:22.032" personId="{F15B8B57-EE53-4066-A4EB-B290E6F1811B}" id="{7BAC1061-874F-4F9C-A3CD-9485D5BE0CC1}">
    <xltc:text>Источник: Авторское сценарное допущение, не факт проекта. 05.09.2026. Гипотеза воронки; допускаются ожидаемые дробные значения.</xltc:text>
  </xltc:threadedComment>
  <xltc:threadedComment ref="C29" dT="2026-09-05T13:01:22.032" personId="{F15B8B57-EE53-4066-A4EB-B290E6F1811B}" id="{E2F7690F-0AC5-4568-823A-3B7109954B04}">
    <xltc:text>Источник: Авторское сценарное допущение, не факт проекта. 05.09.2026. Гипотеза воронки; допускаются ожидаемые дробные значения.</xltc:text>
  </xltc:threadedComment>
  <xltc:threadedComment ref="D29" dT="2026-09-05T13:01:22.032" personId="{F15B8B57-EE53-4066-A4EB-B290E6F1811B}" id="{B158E563-4024-4ED2-986A-9F8E9D171642}">
    <xltc:text>Источник: Авторское сценарное допущение, не факт проекта. 05.09.2026. Гипотеза воронки; допускаются ожидаемые дробные значения.</xltc:text>
  </xltc:threadedComment>
  <xltc:threadedComment ref="B30" dT="2026-09-05T13:01:22.032" personId="{F15B8B57-EE53-4066-A4EB-B290E6F1811B}" id="{5D0C890E-6B3F-48BD-BC85-7CA3274C760F}">
    <xltc:text>Источник: Авторское сценарное допущение, не факт проекта. 05.09.2026. Пилот начинается в месяце квалификации.</xltc:text>
  </xltc:threadedComment>
  <xltc:threadedComment ref="C30" dT="2026-09-05T13:01:22.032" personId="{F15B8B57-EE53-4066-A4EB-B290E6F1811B}" id="{66281FD4-0E84-4D8B-8221-6EB10B730A0A}">
    <xltc:text>Источник: Авторское сценарное допущение, не факт проекта. 05.09.2026. Пилот начинается в месяце квалификации.</xltc:text>
  </xltc:threadedComment>
  <xltc:threadedComment ref="D30" dT="2026-09-05T13:01:22.032" personId="{F15B8B57-EE53-4066-A4EB-B290E6F1811B}" id="{29291CF8-030D-4F88-B1B0-0AA76ECCF080}">
    <xltc:text>Источник: Авторское сценарное допущение, не факт проекта. 05.09.2026. Пилот начинается в месяце квалификации.</xltc:text>
  </xltc:threadedComment>
  <xltc:threadedComment ref="B31" dT="2026-09-05T13:01:22.033" personId="{F15B8B57-EE53-4066-A4EB-B290E6F1811B}" id="{7C188AF9-3209-4834-B287-120F20DE31D3}">
    <xltc:text>Источник: Авторское сценарное допущение, не факт проекта. 05.09.2026. Применяется к пилотам после указанного лага.</xltc:text>
  </xltc:threadedComment>
  <xltc:threadedComment ref="C31" dT="2026-09-05T13:01:22.033" personId="{F15B8B57-EE53-4066-A4EB-B290E6F1811B}" id="{0E7EB122-5970-4002-8181-0750391826C6}">
    <xltc:text>Источник: Авторское сценарное допущение, не факт проекта. 05.09.2026. Применяется к пилотам после указанного лага.</xltc:text>
  </xltc:threadedComment>
  <xltc:threadedComment ref="D31" dT="2026-09-05T13:01:22.033" personId="{F15B8B57-EE53-4066-A4EB-B290E6F1811B}" id="{0586A34C-62C0-4798-913B-352C2AF2DF9C}">
    <xltc:text>Источник: Авторское сценарное допущение, не факт проекта. 05.09.2026. Применяется к пилотам после указанного лага.</xltc:text>
  </xltc:threadedComment>
  <xltc:threadedComment ref="B32" dT="2026-09-05T13:01:22.034" personId="{F15B8B57-EE53-4066-A4EB-B290E6F1811B}" id="{11DAA3AB-3063-4E58-84AD-5066399014C0}">
    <xltc:text>Источник: Авторское сценарное допущение, не факт проекта. 05.09.2026. Упрощение цикла закупки; лидогенерация до квалификации в CAC.</xltc:text>
  </xltc:threadedComment>
  <xltc:threadedComment ref="C32" dT="2026-09-05T13:01:22.034" personId="{F15B8B57-EE53-4066-A4EB-B290E6F1811B}" id="{0B205E9B-4188-4691-9390-7875FC65DCF9}">
    <xltc:text>Источник: Авторское сценарное допущение, не факт проекта. 05.09.2026. Упрощение цикла закупки; лидогенерация до квалификации в CAC.</xltc:text>
  </xltc:threadedComment>
  <xltc:threadedComment ref="D32" dT="2026-09-05T13:01:22.034" personId="{F15B8B57-EE53-4066-A4EB-B290E6F1811B}" id="{1D7ECD05-F5F1-4412-A0DF-15F3DF52AFC4}">
    <xltc:text>Источник: Авторское сценарное допущение, не факт проекта. 05.09.2026. Упрощение цикла закупки; лидогенерация до квалификации в CAC.</xltc:text>
  </xltc:threadedComment>
  <xltc:threadedComment ref="B33" dT="2026-09-05T13:01:22.035" personId="{F15B8B57-EE53-4066-A4EB-B290E6F1811B}" id="{FF3BAA72-442D-4B3B-97F8-924BCDF9CAC5}">
    <xltc:text>Источник: Авторское сценарное допущение, не факт проекта. 05.09.2026. Включает продажи, контент, время встреч; не включено в fixed OPEX.</xltc:text>
  </xltc:threadedComment>
  <xltc:threadedComment ref="C33" dT="2026-09-05T13:01:22.035" personId="{F15B8B57-EE53-4066-A4EB-B290E6F1811B}" id="{D4D1BF5E-7993-486B-AADD-B910530E92A4}">
    <xltc:text>Источник: Авторское сценарное допущение, не факт проекта. 05.09.2026. Включает продажи, контент, время встреч; не включено в fixed OPEX.</xltc:text>
  </xltc:threadedComment>
  <xltc:threadedComment ref="D33" dT="2026-09-05T13:01:22.035" personId="{F15B8B57-EE53-4066-A4EB-B290E6F1811B}" id="{48CDB1BA-4E2C-4DB2-950C-C081074FD126}">
    <xltc:text>Источник: Авторское сценарное допущение, не факт проекта. 05.09.2026. Включает продажи, контент, время встреч; не включено в fixed OPEX.</xltc:text>
  </xltc:threadedComment>
  <xltc:threadedComment ref="B34" dT="2026-09-05T13:01:22.036" personId="{F15B8B57-EE53-4066-A4EB-B290E6F1811B}" id="{161CCD04-AC77-4BF6-A404-FA4B185828D2}">
    <xltc:text>Источник: Авторское сценарное допущение, не факт проекта. 05.09.2026. Оплачивается по стоимости часа поддержки.</xltc:text>
  </xltc:threadedComment>
  <xltc:threadedComment ref="C34" dT="2026-09-05T13:01:22.036" personId="{F15B8B57-EE53-4066-A4EB-B290E6F1811B}" id="{6BF0CF41-1F8A-47CB-89DB-7A6A341B87B1}">
    <xltc:text>Источник: Авторское сценарное допущение, не факт проекта. 05.09.2026. Оплачивается по стоимости часа поддержки.</xltc:text>
  </xltc:threadedComment>
  <xltc:threadedComment ref="D34" dT="2026-09-05T13:01:22.036" personId="{F15B8B57-EE53-4066-A4EB-B290E6F1811B}" id="{1518E868-47F7-4190-92C4-1F828726167D}">
    <xltc:text>Источник: Авторское сценарное допущение, не факт проекта. 05.09.2026. Оплачивается по стоимости часа поддержки.</xltc:text>
  </xltc:threadedComment>
  <xltc:threadedComment ref="B35" dT="2026-09-05T13:01:22.037" personId="{F15B8B57-EE53-4066-A4EB-B290E6F1811B}" id="{31B0634A-C627-44CB-91D8-EFB3DB32BE5C}">
    <xltc:text>Источник: Авторское сценарное допущение, не факт проекта. 05.09.2026. Отдельно от работ по пилоту.</xltc:text>
  </xltc:threadedComment>
  <xltc:threadedComment ref="C35" dT="2026-09-05T13:01:22.037" personId="{F15B8B57-EE53-4066-A4EB-B290E6F1811B}" id="{CABC47EC-E3F2-4909-8278-61BA80462F21}">
    <xltc:text>Источник: Авторское сценарное допущение, не факт проекта. 05.09.2026. Отдельно от работ по пилоту.</xltc:text>
  </xltc:threadedComment>
  <xltc:threadedComment ref="D35" dT="2026-09-05T13:01:22.037" personId="{F15B8B57-EE53-4066-A4EB-B290E6F1811B}" id="{4502F5C2-07D4-475F-82AA-25673B41E109}">
    <xltc:text>Источник: Авторское сценарное допущение, не факт проекта. 05.09.2026. Отдельно от работ по пилоту.</xltc:text>
  </xltc:threadedComment>
  <xltc:threadedComment ref="B36" dT="2026-09-05T13:01:22.039" personId="{F15B8B57-EE53-4066-A4EB-B290E6F1811B}" id="{CC741D0A-296C-4B16-981E-7F50E21B4033}">
    <xltc:text>Источник: Авторское сценарное допущение, не факт проекта. 05.09.2026. Полная стоимость команды разработки; гипотеза.</xltc:text>
  </xltc:threadedComment>
  <xltc:threadedComment ref="C36" dT="2026-09-05T13:01:22.039" personId="{F15B8B57-EE53-4066-A4EB-B290E6F1811B}" id="{0230DC4B-FAE0-4ADE-BF8D-5BD16D07A3CD}">
    <xltc:text>Источник: Авторское сценарное допущение, не факт проекта. 05.09.2026. Полная стоимость команды разработки; гипотеза.</xltc:text>
  </xltc:threadedComment>
  <xltc:threadedComment ref="D36" dT="2026-09-05T13:01:22.039" personId="{F15B8B57-EE53-4066-A4EB-B290E6F1811B}" id="{70BB91E5-2CDD-4A9C-96FD-821678C60998}">
    <xltc:text>Источник: Авторское сценарное допущение, не факт проекта. 05.09.2026. Полная стоимость команды разработки; гипотеза.</xltc:text>
  </xltc:threadedComment>
  <xltc:threadedComment ref="B37" dT="2026-09-05T13:01:22.041" personId="{F15B8B57-EE53-4066-A4EB-B290E6F1811B}" id="{98FA86F8-EEEE-47F2-A3B1-4507CC239F48}">
    <xltc:text>Источник: Авторское сценарное допущение, не факт проекта. 05.09.2026. Продуктовая работа, без времени продаж и поддержки.</xltc:text>
  </xltc:threadedComment>
  <xltc:threadedComment ref="C37" dT="2026-09-05T13:01:22.041" personId="{F15B8B57-EE53-4066-A4EB-B290E6F1811B}" id="{2F9C607E-569C-48EB-A98C-5B9E8970D360}">
    <xltc:text>Источник: Авторское сценарное допущение, не факт проекта. 05.09.2026. Продуктовая работа, без времени продаж и поддержки.</xltc:text>
  </xltc:threadedComment>
  <xltc:threadedComment ref="D37" dT="2026-09-05T13:01:22.041" personId="{F15B8B57-EE53-4066-A4EB-B290E6F1811B}" id="{43711557-55D0-4515-94A4-4166DF517591}">
    <xltc:text>Источник: Авторское сценарное допущение, не факт проекта. 05.09.2026. Продуктовая работа, без времени продаж и поддержки.</xltc:text>
  </xltc:threadedComment>
  <xltc:threadedComment ref="B38" dT="2026-09-05T13:01:22.042" personId="{F15B8B57-EE53-4066-A4EB-B290E6F1811B}" id="{DCE51A02-1DFA-4A63-95C4-ABD7B125709C}">
    <xltc:text>Источник: Авторское сценарное допущение, не факт проекта. 05.09.2026. Общие dev-сервисы и мониторинг, сверх клиентского COGS.</xltc:text>
  </xltc:threadedComment>
  <xltc:threadedComment ref="C38" dT="2026-09-05T13:01:22.042" personId="{F15B8B57-EE53-4066-A4EB-B290E6F1811B}" id="{6522B163-0FB0-4134-AB8B-F34C39613C55}">
    <xltc:text>Источник: Авторское сценарное допущение, не факт проекта. 05.09.2026. Общие dev-сервисы и мониторинг, сверх клиентского COGS.</xltc:text>
  </xltc:threadedComment>
  <xltc:threadedComment ref="D38" dT="2026-09-05T13:01:22.042" personId="{F15B8B57-EE53-4066-A4EB-B290E6F1811B}" id="{98705852-229F-4EC4-8C01-5E4393342BA3}">
    <xltc:text>Источник: Авторское сценарное допущение, не факт проекта. 05.09.2026. Общие dev-сервисы и мониторинг, сверх клиентского COGS.</xltc:text>
  </xltc:threadedComment>
  <xltc:threadedComment ref="B39" dT="2026-09-05T13:01:22.043" personId="{F15B8B57-EE53-4066-A4EB-B290E6F1811B}" id="{5DCCBA43-03C3-438B-95A2-4CE2FFD44784}">
    <xltc:text>Источник: Авторское сценарное допущение, не факт проекта. 05.09.2026. Учёт, договоры, прочие расходы; гипотеза.</xltc:text>
  </xltc:threadedComment>
  <xltc:threadedComment ref="C39" dT="2026-09-05T13:01:22.043" personId="{F15B8B57-EE53-4066-A4EB-B290E6F1811B}" id="{9356534A-DFC2-4CB0-A025-9C6978335961}">
    <xltc:text>Источник: Авторское сценарное допущение, не факт проекта. 05.09.2026. Учёт, договоры, прочие расходы; гипотеза.</xltc:text>
  </xltc:threadedComment>
  <xltc:threadedComment ref="D39" dT="2026-09-05T13:01:22.043" personId="{F15B8B57-EE53-4066-A4EB-B290E6F1811B}" id="{893DFD4D-7D98-41E6-8B79-F737D5E7A355}">
    <xltc:text>Источник: Авторское сценарное допущение, не факт проекта. 05.09.2026. Учёт, договоры, прочие расходы; гипотеза.</xltc:text>
  </xltc:threadedComment>
  <xltc:threadedComment ref="B40" dT="2026-09-05T13:01:22.045" personId="{F15B8B57-EE53-4066-A4EB-B290E6F1811B}" id="{9DF93033-E138-4CA6-92D3-07752E2E955D}">
    <xltc:text>Источник: Авторское сценарное допущение, не факт проекта. 05.09.2026. Условное финансирование модели, не фактически привлечённые деньги.</xltc:text>
  </xltc:threadedComment>
  <xltc:threadedComment ref="C40" dT="2026-09-05T13:01:22.045" personId="{F15B8B57-EE53-4066-A4EB-B290E6F1811B}" id="{63DDDED4-FC62-409E-9956-BE7F9B7E068C}">
    <xltc:text>Источник: Авторское сценарное допущение, не факт проекта. 05.09.2026. Условное финансирование модели, не фактически привлечённые деньги.</xltc:text>
  </xltc:threadedComment>
  <xltc:threadedComment ref="D40" dT="2026-09-05T13:01:22.045" personId="{F15B8B57-EE53-4066-A4EB-B290E6F1811B}" id="{D7070061-B802-4DEC-BA23-84690CD20524}">
    <xltc:text>Источник: Авторское сценарное допущение, не факт проекта. 05.09.2026. Условное финансирование модели, не фактически привлечённые деньги.</xltc:text>
  </xltc:threadedComment>
  <xltc:threadedComment ref="B41" dT="2026-09-05T13:01:22.046" personId="{F15B8B57-EE53-4066-A4EB-B290E6F1811B}" id="{E009A14F-DA97-4E7A-9185-F1A1EAADB404}">
    <xltc:text>Источник: Авторское сценарное допущение, не факт проекта. 05.09.2026. Не включают уже учтённый ежемесячный труд.</xltc:text>
  </xltc:threadedComment>
  <xltc:threadedComment ref="C41" dT="2026-09-05T13:01:22.046" personId="{F15B8B57-EE53-4066-A4EB-B290E6F1811B}" id="{09DAED4D-77D3-4D02-9B78-363133C50E9B}">
    <xltc:text>Источник: Авторское сценарное допущение, не факт проекта. 05.09.2026. Не включают уже учтённый ежемесячный труд.</xltc:text>
  </xltc:threadedComment>
  <xltc:threadedComment ref="D41" dT="2026-09-05T13:01:22.046" personId="{F15B8B57-EE53-4066-A4EB-B290E6F1811B}" id="{DBFA31BD-72E3-4F4B-A7E5-E4A00BC83A43}">
    <xltc:text>Источник: Авторское сценарное допущение, не факт проекта. 05.09.2026. Не включают уже учтённый ежемесячный труд.</xltc:text>
  </xltc:threadedComment>
  <xltc:threadedComment ref="B42" dT="2026-09-05T13:01:22.047" personId="{F15B8B57-EE53-4066-A4EB-B290E6F1811B}" id="{A4BCCFD7-EEF0-44B3-AC36-208D0F58A9AD}">
    <xltc:text>Источник: Авторское сценарное допущение, не факт проекта. 05.09.2026. Консервативно: помесячный биллинг. Годовой аванс не учтён.</xltc:text>
  </xltc:threadedComment>
  <xltc:threadedComment ref="C42" dT="2026-09-05T13:01:22.047" personId="{F15B8B57-EE53-4066-A4EB-B290E6F1811B}" id="{52A24CD7-A7C1-45B7-A036-D23FBEF44A9B}">
    <xltc:text>Источник: Авторское сценарное допущение, не факт проекта. 05.09.2026. Консервативно: помесячный биллинг. Годовой аванс не учтён.</xltc:text>
  </xltc:threadedComment>
  <xltc:threadedComment ref="D42" dT="2026-09-05T13:01:22.047" personId="{F15B8B57-EE53-4066-A4EB-B290E6F1811B}" id="{2F008AA2-C83E-42C5-8FC2-259CBDCDF549}">
    <xltc:text>Источник: Авторское сценарное допущение, не факт проекта. 05.09.2026. Консервативно: помесячный биллинг. Годовой аванс не учтён.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cf7441e48345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15b1d2ee92e407b" /><Relationship Type="http://schemas.openxmlformats.org/officeDocument/2006/relationships/vmlDrawing" Target="/xl/drawings/vmldrawing.vml" Id="Rbe8b7e68a7774bcd" /><Relationship Type="http://schemas.microsoft.com/office/2017/10/relationships/threadedComment" Target="/xl/threadedcomments/threadedcomment.xml" Id="R64d83d2c0d0147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5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5" customHeight="1">
      <x:c r="A1" s="4" t="str">
        <x:v>TrendWatcher · модель монетизации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7" customHeight="1">
      <x:c r="A3" s="2" t="str">
        <x:v>Активный сценарий</x:v>
      </x:c>
      <x:c r="B3" s="11" t="str">
        <x:f>'Допущения'!B3</x:f>
        <x:v>База</x:v>
      </x:c>
      <x:c r="C3" s="2"/>
      <x:c r="D3" s="2"/>
      <x:c r="E3" s="2"/>
      <x:c r="F3" s="2"/>
      <x:c r="G3" s="2"/>
      <x:c r="H3" s="2"/>
    </x:row>
    <x:row r="4" ht="38" customHeight="1">
      <x:c r="A4" s="6" t="str">
        <x:v>Версия 1.0 · 05 сентября 2026 · Все результаты — сценарный прогноз до налогов. Измените синие ячейки на листе «Допущения».</x:v>
      </x:c>
      <x:c r="B4" s="6"/>
      <x:c r="C4" s="6"/>
      <x:c r="D4" s="6"/>
      <x:c r="E4" s="6"/>
      <x:c r="F4" s="6"/>
      <x:c r="G4" s="6"/>
      <x:c r="H4" s="6"/>
    </x:row>
    <x:row r="5" ht="27" customHeight="1">
      <x:c r="A5" s="2"/>
      <x:c r="B5" s="2"/>
      <x:c r="C5" s="2"/>
      <x:c r="D5" s="2"/>
      <x:c r="E5" s="2"/>
      <x:c r="F5" s="2"/>
      <x:c r="G5" s="2"/>
      <x:c r="H5" s="2"/>
    </x:row>
    <x:row r="6" ht="38" customHeight="1">
      <x:c r="A6" s="9" t="str">
        <x:v>Unit = договор Team</x:v>
      </x:c>
      <x:c r="B6" s="9" t="str">
        <x:v>Значение</x:v>
      </x:c>
      <x:c r="C6" s="2"/>
      <x:c r="D6" s="2"/>
      <x:c r="E6" s="2"/>
      <x:c r="F6" s="2"/>
      <x:c r="G6" s="2"/>
      <x:c r="H6" s="2"/>
    </x:row>
    <x:row r="7" ht="34" customHeight="1">
      <x:c r="A7" s="15" t="str">
        <x:v>Подписка, ₽ / месяц</x:v>
      </x:c>
      <x:c r="B7" s="11" t="n">
        <x:f>'Unit-экономика'!B16</x:f>
        <x:v>49000</x:v>
      </x:c>
      <x:c r="C7" s="2"/>
      <x:c r="D7" s="2"/>
      <x:c r="E7" s="2"/>
      <x:c r="F7" s="2"/>
      <x:c r="G7" s="2"/>
      <x:c r="H7" s="2"/>
    </x:row>
    <x:row r="8" ht="34" customHeight="1">
      <x:c r="A8" s="15" t="str">
        <x:v>Прямые затраты, ₽ / месяц</x:v>
      </x:c>
      <x:c r="B8" s="11" t="n">
        <x:f>'Unit-экономика'!B15</x:f>
        <x:v>11626.904625</x:v>
      </x:c>
      <x:c r="C8" s="2"/>
      <x:c r="D8" s="2"/>
      <x:c r="E8" s="2"/>
      <x:c r="F8" s="2"/>
      <x:c r="G8" s="2"/>
      <x:c r="H8" s="2"/>
    </x:row>
    <x:row r="9" ht="34" customHeight="1">
      <x:c r="A9" s="15" t="str">
        <x:v>Валовая маржа</x:v>
      </x:c>
      <x:c r="B9" s="19" t="n">
        <x:f>'Unit-экономика'!B18</x:f>
        <x:v>0.7627162321428572</x:v>
      </x:c>
      <x:c r="C9" s="2"/>
      <x:c r="D9" s="2"/>
      <x:c r="E9" s="2"/>
      <x:c r="F9" s="2"/>
      <x:c r="G9" s="2"/>
      <x:c r="H9" s="2"/>
    </x:row>
    <x:row r="10" ht="34" customHeight="1">
      <x:c r="A10" s="15" t="str">
        <x:v>CAC, ₽</x:v>
      </x:c>
      <x:c r="B10" s="11" t="n">
        <x:f>'Unit-экономика'!B19</x:f>
        <x:v>120000</x:v>
      </x:c>
      <x:c r="C10" s="2"/>
      <x:c r="D10" s="2"/>
      <x:c r="E10" s="2"/>
      <x:c r="F10" s="2"/>
      <x:c r="G10" s="2"/>
      <x:c r="H10" s="2"/>
    </x:row>
    <x:row r="11" ht="34" customHeight="1">
      <x:c r="A11" s="15" t="str">
        <x:v>Окупаемость CAC, месяцев</x:v>
      </x:c>
      <x:c r="B11" s="23" t="n">
        <x:f>'Unit-экономика'!B20</x:f>
        <x:v>3.210865966437226</x:v>
      </x:c>
      <x:c r="C11" s="2"/>
      <x:c r="D11" s="2"/>
      <x:c r="E11" s="2"/>
      <x:c r="F11" s="2"/>
      <x:c r="G11" s="2"/>
      <x:c r="H11" s="2"/>
    </x:row>
    <x:row r="12" ht="34" customHeight="1">
      <x:c r="A12" s="15" t="str">
        <x:v>LTV / CAC (24 месяца)</x:v>
      </x:c>
      <x:c r="B12" s="23" t="n">
        <x:f>'Unit-экономика'!B22</x:f>
        <x:v>6.316548506888538</x:v>
      </x:c>
      <x:c r="C12" s="2"/>
      <x:c r="D12" s="2"/>
      <x:c r="E12" s="2"/>
      <x:c r="F12" s="2"/>
      <x:c r="G12" s="2"/>
      <x:c r="H12" s="2"/>
    </x:row>
    <x:row r="13" ht="34" customHeight="1">
      <x:c r="A13" s="15" t="str">
        <x:v>Безубыточность, договоров</x:v>
      </x:c>
      <x:c r="B13" s="11" t="n">
        <x:f>'Unit-экономика'!B25</x:f>
        <x:v>11</x:v>
      </x:c>
      <x:c r="C13" s="2"/>
      <x:c r="D13" s="2"/>
      <x:c r="E13" s="2"/>
      <x:c r="F13" s="2"/>
      <x:c r="G13" s="2"/>
      <x:c r="H13" s="2"/>
    </x:row>
    <x:row r="14" ht="27" customHeight="1">
      <x:c r="A14" s="15"/>
      <x:c r="B14" s="2"/>
      <x:c r="C14" s="2"/>
      <x:c r="D14" s="2"/>
      <x:c r="E14" s="2"/>
      <x:c r="F14" s="2"/>
      <x:c r="G14" s="2"/>
      <x:c r="H14" s="2"/>
    </x:row>
    <x:row r="15" ht="27" customHeight="1">
      <x:c r="A15" s="15"/>
      <x:c r="B15" s="2"/>
      <x:c r="C15" s="2"/>
      <x:c r="D15" s="2"/>
      <x:c r="E15" s="2"/>
      <x:c r="F15" s="2"/>
      <x:c r="G15" s="2"/>
      <x:c r="H15" s="2"/>
    </x:row>
    <x:row r="16" ht="38" customHeight="1">
      <x:c r="A16" s="9" t="str">
        <x:v>План / финансирование</x:v>
      </x:c>
      <x:c r="B16" s="9" t="str">
        <x:v>Значение</x:v>
      </x:c>
      <x:c r="C16" s="2"/>
      <x:c r="D16" s="2"/>
      <x:c r="E16" s="2"/>
      <x:c r="F16" s="2"/>
      <x:c r="G16" s="2"/>
      <x:c r="H16" s="2"/>
    </x:row>
    <x:row r="17" ht="36" customHeight="1">
      <x:c r="A17" s="15" t="str">
        <x:v>Выручка первых 12 месяцев</x:v>
      </x:c>
      <x:c r="B17" s="11" t="n">
        <x:f>SUM('План 24 месяца'!M7:M18)</x:f>
        <x:v>5832179.376437257</x:v>
      </x:c>
      <x:c r="C17" s="2"/>
      <x:c r="D17" s="2"/>
      <x:c r="E17" s="2"/>
      <x:c r="F17" s="2"/>
      <x:c r="G17" s="2"/>
      <x:c r="H17" s="2"/>
    </x:row>
    <x:row r="18" ht="36" customHeight="1">
      <x:c r="A18" s="15" t="str">
        <x:v>MRR на конец 12-го месяца</x:v>
      </x:c>
      <x:c r="B18" s="11" t="n">
        <x:f>'План 24 месяца'!J18</x:f>
        <x:v>730253.6135567931</x:v>
      </x:c>
      <x:c r="C18" s="2"/>
      <x:c r="D18" s="48" t="str">
        <x:v>Что проверить первым
1. Кто подписывает договор и оплачивает пилот.
2. Сколько времени экономится при прежнем качестве.
3. Сколько стоят поддержка, источники и QA.
4. Возвращается ли команда к продукту каждую неделю.</x:v>
      </x:c>
      <x:c r="E18" s="48"/>
      <x:c r="F18" s="48"/>
      <x:c r="G18" s="48"/>
      <x:c r="H18" s="48"/>
    </x:row>
    <x:row r="19" ht="36" customHeight="1">
      <x:c r="A19" s="15" t="str">
        <x:v>Договоры на конец 24-го месяца</x:v>
      </x:c>
      <x:c r="B19" s="35" t="n">
        <x:f>'План 24 месяца'!H30</x:f>
        <x:v>48.39137860014301</x:v>
      </x:c>
      <x:c r="C19" s="2"/>
      <x:c r="D19" s="48"/>
      <x:c r="E19" s="48"/>
      <x:c r="F19" s="48"/>
      <x:c r="G19" s="48"/>
      <x:c r="H19" s="48"/>
    </x:row>
    <x:row r="20" ht="36" customHeight="1">
      <x:c r="A20" s="15" t="str">
        <x:v>MRR на конец 24-го месяца</x:v>
      </x:c>
      <x:c r="B20" s="11" t="n">
        <x:f>'План 24 месяца'!J30</x:f>
        <x:v>2371177.5514070075</x:v>
      </x:c>
      <x:c r="C20" s="2"/>
      <x:c r="D20" s="48"/>
      <x:c r="E20" s="48"/>
      <x:c r="F20" s="48"/>
      <x:c r="G20" s="48"/>
      <x:c r="H20" s="48"/>
    </x:row>
    <x:row r="21" ht="36" customHeight="1">
      <x:c r="A21" s="15" t="str">
        <x:v>Начальные деньги (гипотеза)</x:v>
      </x:c>
      <x:c r="B21" s="11" t="n">
        <x:f>'Допущения'!$E$40</x:f>
        <x:v>2000000</x:v>
      </x:c>
      <x:c r="C21" s="2"/>
      <x:c r="D21" s="48"/>
      <x:c r="E21" s="48"/>
      <x:c r="F21" s="48"/>
      <x:c r="G21" s="48"/>
      <x:c r="H21" s="48"/>
    </x:row>
    <x:row r="22" ht="36" customHeight="1">
      <x:c r="A22" s="15" t="str">
        <x:v>Дополнительно к начальному бюджету</x:v>
      </x:c>
      <x:c r="B22" s="46" t="n">
        <x:f>MAX('План 24 месяца'!Z7:Z30)</x:f>
        <x:v>2319308.6210744483</x:v>
      </x:c>
      <x:c r="C22" s="2"/>
      <x:c r="D22" s="48"/>
      <x:c r="E22" s="48"/>
      <x:c r="F22" s="48"/>
      <x:c r="G22" s="48"/>
      <x:c r="H22" s="48"/>
    </x:row>
    <x:row r="23" ht="36" customHeight="1">
      <x:c r="A23" s="15" t="str">
        <x:v>Суммарная потребность в деньгах</x:v>
      </x:c>
      <x:c r="B23" s="11" t="n">
        <x:f>'Допущения'!$E$40+B22</x:f>
        <x:v>4319308.621074448</x:v>
      </x:c>
      <x:c r="C23" s="2"/>
      <x:c r="D23" s="48"/>
      <x:c r="E23" s="48"/>
      <x:c r="F23" s="48"/>
      <x:c r="G23" s="48"/>
      <x:c r="H23" s="48"/>
    </x:row>
    <x:row r="24" ht="27" customHeight="1">
      <x:c r="A24" s="2"/>
      <x:c r="B24" s="2"/>
      <x:c r="C24" s="2"/>
      <x:c r="D24" s="2"/>
      <x:c r="E24" s="2"/>
      <x:c r="F24" s="2"/>
      <x:c r="G24" s="2"/>
      <x:c r="H24" s="2"/>
    </x:row>
    <x:row r="25" ht="42" customHeight="1">
      <x:c r="A25" s="6" t="str">
        <x:v>Цена и LTV не подтверждены продажами. Годовой договор — целевой формат; денежный план консервативно использует помесячную оплату с задержкой.</x:v>
      </x:c>
      <x:c r="B25" s="6"/>
      <x:c r="C25" s="6"/>
      <x:c r="D25" s="6"/>
      <x:c r="E25" s="6"/>
      <x:c r="F25" s="6"/>
      <x:c r="G25" s="6"/>
      <x:c r="H25" s="6"/>
    </x:row>
    <x:row r="26" ht="27" customHeight="1">
      <x:c r="A26" s="2"/>
      <x:c r="B26" s="2"/>
      <x:c r="C26" s="2"/>
      <x:c r="D26" s="2"/>
      <x:c r="E26" s="2"/>
      <x:c r="F26" s="2"/>
      <x:c r="G26" s="2"/>
      <x:c r="H26" s="2"/>
    </x:row>
    <x:row r="27" ht="27" customHeight="1">
      <x:c r="A27" s="2"/>
      <x:c r="B27" s="2"/>
      <x:c r="C27" s="2"/>
      <x:c r="D27" s="2"/>
      <x:c r="E27" s="2"/>
      <x:c r="F27" s="2"/>
      <x:c r="G27" s="2"/>
      <x:c r="H27" s="2"/>
    </x:row>
    <x:row r="28" ht="38" customHeight="1">
      <x:c r="A28" s="9" t="str">
        <x:v>Месяц</x:v>
      </x:c>
      <x:c r="B28" s="9" t="str">
        <x:v>MRR, ₽</x:v>
      </x:c>
      <x:c r="C28" s="9" t="str">
        <x:v>Опер. результат, ₽</x:v>
      </x:c>
      <x:c r="D28" s="9" t="str">
        <x:v>Деньги, ₽</x:v>
      </x:c>
      <x:c r="E28" s="2"/>
      <x:c r="F28" s="2"/>
      <x:c r="G28" s="2"/>
      <x:c r="H28" s="2"/>
    </x:row>
    <x:row r="29" ht="27" customHeight="1">
      <x:c r="A29" s="11" t="str">
        <x:f>TEXT('План 24 месяца'!B7,"mmm yy")</x:f>
        <x:v>Oct 26</x:v>
      </x:c>
      <x:c r="B29" s="11" t="n">
        <x:f>'План 24 месяца'!J7</x:f>
        <x:v>0</x:v>
      </x:c>
      <x:c r="C29" s="11" t="n">
        <x:f>'План 24 месяца'!T7</x:f>
        <x:v>-444400</x:v>
      </x:c>
      <x:c r="D29" s="11" t="n">
        <x:f>'План 24 месяца'!Y7</x:f>
        <x:v>1224600</x:v>
      </x:c>
      <x:c r="E29" s="2" t="str">
        <x:v>Контроль формул</x:v>
      </x:c>
      <x:c r="F29" s="11" t="str">
        <x:f>'Проверки'!B16</x:f>
        <x:v>PASS</x:v>
      </x:c>
      <x:c r="G29" s="2"/>
      <x:c r="H29" s="2"/>
    </x:row>
    <x:row r="30" ht="27" customHeight="1">
      <x:c r="A30" s="11" t="str">
        <x:f>TEXT('План 24 месяца'!B9,"mmm yy")</x:f>
        <x:v>Dec 26</x:v>
      </x:c>
      <x:c r="B30" s="11" t="n">
        <x:f>'План 24 месяца'!J9</x:f>
        <x:v>44099.99999999999</x:v>
      </x:c>
      <x:c r="C30" s="11" t="n">
        <x:f>'План 24 месяца'!T9</x:f>
        <x:v>-414364.2141625</x:v>
      </x:c>
      <x:c r="D30" s="11" t="n">
        <x:f>'План 24 месяца'!Y9</x:f>
        <x:v>257835.7858375</x:v>
      </x:c>
      <x:c r="E30" s="2"/>
      <x:c r="F30" s="2"/>
      <x:c r="G30" s="2"/>
      <x:c r="H30" s="2"/>
    </x:row>
    <x:row r="31" ht="27" customHeight="1">
      <x:c r="A31" s="11" t="str">
        <x:f>TEXT('План 24 месяца'!B11,"mmm yy")</x:f>
        <x:v>Feb 27</x:v>
      </x:c>
      <x:c r="B31" s="11" t="n">
        <x:f>'План 24 месяца'!J11</x:f>
        <x:v>152265.1725</x:v>
      </x:c>
      <x:c r="C31" s="11" t="n">
        <x:f>'План 24 месяца'!T11</x:f>
        <x:v>-346264.8813442178</x:v>
      </x:c>
      <x:c r="D31" s="11" t="n">
        <x:f>'План 24 месяца'!Y11</x:f>
        <x:v>-615421.2688130303</x:v>
      </x:c>
      <x:c r="E31" s="2"/>
      <x:c r="F31" s="2"/>
      <x:c r="G31" s="2"/>
      <x:c r="H31" s="2"/>
    </x:row>
    <x:row r="32" ht="27" customHeight="1">
      <x:c r="A32" s="11" t="str">
        <x:f>TEXT('План 24 месяца'!B13,"mmm yy")</x:f>
        <x:v>Apr 27</x:v>
      </x:c>
      <x:c r="B32" s="11" t="n">
        <x:f>'План 24 месяца'!J13</x:f>
        <x:v>286389.2269888125</x:v>
      </x:c>
      <x:c r="C32" s="11" t="n">
        <x:f>'План 24 месяца'!T13</x:f>
        <x:v>-258366.2878647875</x:v>
      </x:c>
      <x:c r="D32" s="11" t="n">
        <x:f>'План 24 месяца'!Y13</x:f>
        <x:v>-1348664.8405344347</x:v>
      </x:c>
      <x:c r="E32" s="2"/>
      <x:c r="F32" s="2"/>
      <x:c r="G32" s="2"/>
      <x:c r="H32" s="2"/>
    </x:row>
    <x:row r="33" ht="27" customHeight="1">
      <x:c r="A33" s="11" t="str">
        <x:f>TEXT('План 24 месяца'!B15,"mmm yy")</x:f>
        <x:v>Jun 27</x:v>
      </x:c>
      <x:c r="B33" s="11" t="n">
        <x:f>'План 24 месяца'!J15</x:f>
        <x:v>445699.2377552206</x:v>
      </x:c>
      <x:c r="C33" s="11" t="n">
        <x:f>'План 24 месяца'!T15</x:f>
        <x:v>-151257.9567103947</x:v>
      </x:c>
      <x:c r="D33" s="11" t="n">
        <x:f>'План 24 месяца'!Y15</x:f>
        <x:v>-1902409.9941893031</x:v>
      </x:c>
      <x:c r="E33" s="2"/>
      <x:c r="F33" s="2"/>
      <x:c r="G33" s="2"/>
      <x:c r="H33" s="2"/>
    </x:row>
    <x:row r="34" ht="27" customHeight="1">
      <x:c r="A34" s="11" t="str">
        <x:f>TEXT('План 24 месяца'!B17,"mmm yy")</x:f>
        <x:v>Aug 27</x:v>
      </x:c>
      <x:c r="B34" s="11" t="n">
        <x:f>'План 24 месяца'!J17</x:f>
        <x:v>629445.292951059</x:v>
      </x:c>
      <x:c r="C34" s="11" t="n">
        <x:f>'План 24 месяца'!T17</x:f>
        <x:v>-25511.85782031133</x:v>
      </x:c>
      <x:c r="D34" s="11" t="n">
        <x:f>'План 24 месяца'!Y17</x:f>
        <x:v>-2238347.4585839417</x:v>
      </x:c>
      <x:c r="E34" s="2"/>
      <x:c r="F34" s="2"/>
      <x:c r="G34" s="2"/>
      <x:c r="H34" s="2"/>
    </x:row>
    <x:row r="35" ht="27" customHeight="1">
      <x:c r="A35" s="11" t="str">
        <x:f>TEXT('План 24 месяца'!B19,"mmm yy")</x:f>
        <x:v>Oct 27</x:v>
      </x:c>
      <x:c r="B35" s="11" t="n">
        <x:f>'План 24 месяца'!J19</x:f>
        <x:v>836899.809353441</x:v>
      </x:c>
      <x:c r="C35" s="11" t="n">
        <x:f>'План 24 месяца'!T19</x:f>
        <x:v>118317.069271132</x:v>
      </x:c>
      <x:c r="D35" s="11" t="n">
        <x:f>'План 24 месяца'!Y19</x:f>
        <x:v>-2319308.6210744483</x:v>
      </x:c>
      <x:c r="E35" s="2"/>
      <x:c r="F35" s="2"/>
      <x:c r="G35" s="2"/>
      <x:c r="H35" s="2"/>
    </x:row>
    <x:row r="36" ht="27" customHeight="1">
      <x:c r="A36" s="11" t="str">
        <x:f>TEXT('План 24 месяца'!B21,"mmm yy")</x:f>
        <x:v>Dec 27</x:v>
      </x:c>
      <x:c r="B36" s="11" t="n">
        <x:f>'План 24 месяца'!J21</x:f>
        <x:v>1067356.8675299422</x:v>
      </x:c>
      <x:c r="C36" s="11" t="n">
        <x:f>'План 24 месяца'!T21</x:f>
        <x:v>279690.40835424024</x:v>
      </x:c>
      <x:c r="D36" s="11" t="n">
        <x:f>'План 24 месяца'!Y21</x:f>
        <x:v>-2109231.5644583944</x:v>
      </x:c>
      <x:c r="E36" s="2"/>
      <x:c r="F36" s="2"/>
      <x:c r="G36" s="2"/>
      <x:c r="H36" s="2"/>
    </x:row>
    <x:row r="37" ht="27" customHeight="1">
      <x:c r="A37" s="11" t="str">
        <x:f>TEXT('План 24 месяца'!B23,"mmm yy")</x:f>
        <x:v>Feb 28</x:v>
      </x:c>
      <x:c r="B37" s="11" t="n">
        <x:f>'План 24 месяца'!J23</x:f>
        <x:v>1320131.566799238</x:v>
      </x:c>
      <x:c r="C37" s="11" t="n">
        <x:f>'План 24 месяца'!T23</x:f>
        <x:v>458085.7745619614</x:v>
      </x:c>
      <x:c r="D37" s="11" t="n">
        <x:f>'План 24 месяца'!Y23</x:f>
        <x:v>-1573128.115118052</x:v>
      </x:c>
      <x:c r="E37" s="2"/>
      <x:c r="F37" s="2"/>
      <x:c r="G37" s="2"/>
      <x:c r="H37" s="2"/>
    </x:row>
    <x:row r="38" ht="27" customHeight="1">
      <x:c r="A38" s="11" t="str">
        <x:f>TEXT('План 24 месяца'!B25,"mmm yy")</x:f>
        <x:v>Apr 28</x:v>
      </x:c>
      <x:c r="B38" s="11" t="n">
        <x:f>'План 24 месяца'!J25</x:f>
        <x:v>1594559.3993977907</x:v>
      </x:c>
      <x:c r="C38" s="11" t="n">
        <x:f>'План 24 месяца'!T25</x:f>
        <x:v>652996.3370366602</x:v>
      </x:c>
      <x:c r="D38" s="11" t="n">
        <x:f>'План 24 месяца'!Y25</x:f>
        <x:v>-677051.8723051623</x:v>
      </x:c>
      <x:c r="E38" s="2"/>
      <x:c r="F38" s="2"/>
      <x:c r="G38" s="2"/>
      <x:c r="H38" s="2"/>
    </x:row>
    <x:row r="39" ht="27" customHeight="1">
      <x:c r="A39" s="11" t="str">
        <x:f>TEXT('План 24 месяца'!B27,"mmm yy")</x:f>
        <x:v>Jun 28</x:v>
      </x:c>
      <x:c r="B39" s="11" t="n">
        <x:f>'План 24 месяца'!J27</x:f>
        <x:v>1889995.6432807215</x:v>
      </x:c>
      <x:c r="C39" s="11" t="n">
        <x:f>'План 24 месяца'!T27</x:f>
        <x:v>863930.3558094872</x:v>
      </x:c>
      <x:c r="D39" s="11" t="n">
        <x:f>'План 24 месяца'!Y27</x:f>
        <x:v>611932.8106462548</x:v>
      </x:c>
      <x:c r="E39" s="2"/>
      <x:c r="F39" s="2"/>
      <x:c r="G39" s="2"/>
      <x:c r="H39" s="2"/>
    </x:row>
    <x:row r="40" ht="27" customHeight="1">
      <x:c r="A40" s="11" t="str">
        <x:f>TEXT('План 24 месяца'!B29,"mmm yy")</x:f>
        <x:v>Aug 28</x:v>
      </x:c>
      <x:c r="B40" s="11" t="n">
        <x:f>'План 24 месяца'!J29</x:f>
        <x:v>2205814.7730020382</x:v>
      </x:c>
      <x:c r="C40" s="11" t="n">
        <x:f>'План 24 месяца'!T29</x:f>
        <x:v>1090410.7324691664</x:v>
      </x:c>
      <x:c r="D40" s="11" t="n">
        <x:f>'План 24 месяца'!Y29</x:f>
        <x:v>2325780.9215226993</x:v>
      </x:c>
      <x:c r="E40" s="2"/>
      <x:c r="F40" s="2"/>
      <x:c r="G40" s="2"/>
      <x:c r="H40" s="2"/>
    </x:row>
    <x:row r="41" ht="27" customHeight="1">
      <x:c r="A41" s="2"/>
      <x:c r="B41" s="2"/>
      <x:c r="C41" s="2"/>
      <x:c r="D41" s="2"/>
      <x:c r="E41" s="2"/>
      <x:c r="F41" s="2"/>
      <x:c r="G41" s="2"/>
      <x:c r="H41" s="2"/>
    </x:row>
    <x:row r="42" ht="27" customHeight="1">
      <x:c r="A42" s="2"/>
      <x:c r="B42" s="2"/>
      <x:c r="C42" s="2"/>
      <x:c r="D42" s="2"/>
      <x:c r="E42" s="2"/>
      <x:c r="F42" s="2"/>
      <x:c r="G42" s="2"/>
      <x:c r="H42" s="2"/>
    </x:row>
    <x:row r="43" ht="27" customHeight="1">
      <x:c r="A43" s="2"/>
      <x:c r="B43" s="2"/>
      <x:c r="C43" s="2"/>
      <x:c r="D43" s="2"/>
      <x:c r="E43" s="2"/>
      <x:c r="F43" s="2"/>
      <x:c r="G43" s="2"/>
      <x:c r="H43" s="2"/>
    </x:row>
  </x:sheetData>
  <x:mergeCells>
    <x:mergeCell ref="A1:H2"/>
    <x:mergeCell ref="A4:H4"/>
    <x:mergeCell ref="D18:H23"/>
    <x:mergeCell ref="A25:H25"/>
  </x:mergeCells>
  <x:pageMargins left="0.7" right="0.7" top="0.75" bottom="0.75" header="0.3" footer="0.3"/>
  <x:drawing xmlns:r="http://schemas.openxmlformats.org/officeDocument/2006/relationships" r:id="Rd1cf7441e483455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70" hidden="0" customWidth="1"/>
  </x:cols>
  <x:sheetData>
    <x:row r="1" ht="25" customHeight="1">
      <x:c r="A1" s="4" t="str">
        <x:v>Допущения · редактируемые параметры</x:v>
      </x:c>
      <x:c r="B1" s="4"/>
      <x:c r="C1" s="4"/>
      <x:c r="D1" s="4"/>
      <x:c r="E1" s="4"/>
      <x:c r="F1" s="4"/>
      <x:c r="G1" s="4"/>
    </x:row>
    <x:row r="2" ht="25" customHeight="1">
      <x:c r="A2" s="4"/>
      <x:c r="B2" s="4"/>
      <x:c r="C2" s="4"/>
      <x:c r="D2" s="4"/>
      <x:c r="E2" s="4"/>
      <x:c r="F2" s="4"/>
      <x:c r="G2" s="4"/>
    </x:row>
    <x:row r="3" ht="27" customHeight="1">
      <x:c r="A3" s="2" t="str">
        <x:v>Активный сценарий</x:v>
      </x:c>
      <x:c r="B3" s="2" t="str">
        <x:v>База</x:v>
      </x:c>
      <x:c r="C3" s="2"/>
      <x:c r="D3" s="2"/>
      <x:c r="E3" s="2"/>
      <x:c r="F3" s="2"/>
      <x:c r="G3" s="2"/>
    </x:row>
    <x:row r="4" ht="38" customHeight="1">
      <x:c r="A4" s="6" t="str">
        <x:v>Все операционные значения — гипотезы. Цены API подтверждены источником; налоги и НДС клиента не моделируются.</x:v>
      </x:c>
      <x:c r="B4" s="6"/>
      <x:c r="C4" s="6"/>
      <x:c r="D4" s="6"/>
      <x:c r="E4" s="6"/>
      <x:c r="F4" s="6"/>
      <x:c r="G4" s="6"/>
    </x:row>
    <x:row r="5" ht="27" customHeight="1">
      <x:c r="A5" s="2"/>
      <x:c r="B5" s="2"/>
      <x:c r="C5" s="2"/>
      <x:c r="D5" s="2"/>
      <x:c r="E5" s="2"/>
      <x:c r="F5" s="2"/>
      <x:c r="G5" s="2"/>
    </x:row>
    <x:row r="6" ht="38" customHeight="1">
      <x:c r="A6" s="9" t="str">
        <x:v>Параметр</x:v>
      </x:c>
      <x:c r="B6" s="9" t="str">
        <x:v>База</x:v>
      </x:c>
      <x:c r="C6" s="9" t="str">
        <x:v>Осторожный</x:v>
      </x:c>
      <x:c r="D6" s="9" t="str">
        <x:v>Рост</x:v>
      </x:c>
      <x:c r="E6" s="9" t="str">
        <x:v>Выбранное</x:v>
      </x:c>
      <x:c r="F6" s="9" t="str">
        <x:v>Единица</x:v>
      </x:c>
      <x:c r="G6" s="9" t="str">
        <x:v>Основание / проверка</x:v>
      </x:c>
    </x:row>
    <x:row r="7" ht="38" customHeight="1">
      <x:c r="A7" s="15" t="str">
        <x:v>Team: подписка в месяц</x:v>
      </x:c>
      <x:c r="B7" s="16" t="n">
        <x:v>49000</x:v>
      </x:c>
      <x:c r="C7" s="16" t="n">
        <x:v>39000</x:v>
      </x:c>
      <x:c r="D7" s="16" t="n">
        <x:v>59000</x:v>
      </x:c>
      <x:c r="E7" s="26" t="n">
        <x:f>INDEX(B7:D7,1,MATCH($B$3,$B$6:$D$6,0))</x:f>
        <x:v>49000</x:v>
      </x:c>
      <x:c r="F7" s="15" t="str">
        <x:v>₽ / договор</x:v>
      </x:c>
      <x:c r="G7" s="15" t="str">
        <x:v>Гипотеза цены: проверить в 10 интервью и 3 платных пилотах.</x:v>
      </x:c>
    </x:row>
    <x:row r="8" ht="38" customHeight="1">
      <x:c r="A8" s="15" t="str">
        <x:v>Пилот: цена за 4 недели</x:v>
      </x:c>
      <x:c r="B8" s="16" t="n">
        <x:v>45000</x:v>
      </x:c>
      <x:c r="C8" s="16" t="n">
        <x:v>30000</x:v>
      </x:c>
      <x:c r="D8" s="16" t="n">
        <x:v>60000</x:v>
      </x:c>
      <x:c r="E8" s="26" t="n">
        <x:f>INDEX(B8:D8,1,MATCH($B$3,$B$6:$D$6,0))</x:f>
        <x:v>45000</x:v>
      </x:c>
      <x:c r="F8" s="15" t="str">
        <x:v>₽ / пилот</x:v>
      </x:c>
      <x:c r="G8" s="15" t="str">
        <x:v>Разовый пилот; его выручка не входит в MRR.</x:v>
      </x:c>
    </x:row>
    <x:row r="9" ht="38" customHeight="1">
      <x:c r="A9" s="15" t="str">
        <x:v>Настройка после пилота</x:v>
      </x:c>
      <x:c r="B9" s="16" t="n">
        <x:v>30000</x:v>
      </x:c>
      <x:c r="C9" s="16" t="n">
        <x:v>15000</x:v>
      </x:c>
      <x:c r="D9" s="16" t="n">
        <x:v>45000</x:v>
      </x:c>
      <x:c r="E9" s="26" t="n">
        <x:f>INDEX(B9:D9,1,MATCH($B$3,$B$6:$D$6,0))</x:f>
        <x:v>30000</x:v>
      </x:c>
      <x:c r="F9" s="15" t="str">
        <x:v>₽ / договор</x:v>
      </x:c>
      <x:c r="G9" s="15" t="str">
        <x:v>Разовое подключение в начале подписки.</x:v>
      </x:c>
    </x:row>
    <x:row r="10" ht="38" customHeight="1">
      <x:c r="A10" s="15" t="str">
        <x:v>Публикации за месяц</x:v>
      </x:c>
      <x:c r="B10" s="16" t="n">
        <x:v>3000</x:v>
      </x:c>
      <x:c r="C10" s="16" t="n">
        <x:v>4000</x:v>
      </x:c>
      <x:c r="D10" s="16" t="n">
        <x:v>5000</x:v>
      </x:c>
      <x:c r="E10" s="26" t="n">
        <x:f>INDEX(B10:D10,1,MATCH($B$3,$B$6:$D$6,0))</x:f>
        <x:v>3000</x:v>
      </x:c>
      <x:c r="F10" s="15" t="str">
        <x:v>шт. / договор</x:v>
      </x:c>
      <x:c r="G10" s="15" t="str">
        <x:v>Рабочий лимит Team. Проверить по реальным запускам.</x:v>
      </x:c>
    </x:row>
    <x:row r="11" ht="38" customHeight="1">
      <x:c r="A11" s="15" t="str">
        <x:v>Доля новых для ИИ</x:v>
      </x:c>
      <x:c r="B11" s="20" t="n">
        <x:v>0.65</x:v>
      </x:c>
      <x:c r="C11" s="20" t="n">
        <x:v>0.8</x:v>
      </x:c>
      <x:c r="D11" s="20" t="n">
        <x:v>0.55</x:v>
      </x:c>
      <x:c r="E11" s="27" t="n">
        <x:f>INDEX(B11:D11,1,MATCH($B$3,$B$6:$D$6,0))</x:f>
        <x:v>0.65</x:v>
      </x:c>
      <x:c r="F11" s="15" t="str">
        <x:v>%</x:v>
      </x:c>
      <x:c r="G11" s="15" t="str">
        <x:v>Остальное берётся из кэша; экономия пока гипотеза.</x:v>
      </x:c>
    </x:row>
    <x:row r="12" ht="38" customHeight="1">
      <x:c r="A12" s="15" t="str">
        <x:v>Входные токены на статью</x:v>
      </x:c>
      <x:c r="B12" s="16" t="n">
        <x:v>1100</x:v>
      </x:c>
      <x:c r="C12" s="16" t="n">
        <x:v>1600</x:v>
      </x:c>
      <x:c r="D12" s="16" t="n">
        <x:v>1100</x:v>
      </x:c>
      <x:c r="E12" s="26" t="n">
        <x:f>INDEX(B12:D12,1,MATCH($B$3,$B$6:$D$6,0))</x:f>
        <x:v>1100</x:v>
      </x:c>
      <x:c r="F12" s="15" t="str">
        <x:v>токенов</x:v>
      </x:c>
      <x:c r="G12" s="15" t="str">
        <x:v>Включает долю системного промпта на статью.</x:v>
      </x:c>
    </x:row>
    <x:row r="13" ht="38" customHeight="1">
      <x:c r="A13" s="15" t="str">
        <x:v>Выходные токены на статью</x:v>
      </x:c>
      <x:c r="B13" s="16" t="n">
        <x:v>650</x:v>
      </x:c>
      <x:c r="C13" s="16" t="n">
        <x:v>850</x:v>
      </x:c>
      <x:c r="D13" s="16" t="n">
        <x:v>650</x:v>
      </x:c>
      <x:c r="E13" s="26" t="n">
        <x:f>INDEX(B13:D13,1,MATCH($B$3,$B$6:$D$6,0))</x:f>
        <x:v>650</x:v>
      </x:c>
      <x:c r="F13" s="15" t="str">
        <x:v>токенов</x:v>
      </x:c>
      <x:c r="G13" s="15" t="str">
        <x:v>Среднее, не лимит max_tokens. Нужно измерение.</x:v>
      </x:c>
    </x:row>
    <x:row r="14" ht="38" customHeight="1">
      <x:c r="A14" s="15" t="str">
        <x:v>Множитель повторов</x:v>
      </x:c>
      <x:c r="B14" s="24" t="n">
        <x:v>1.15</x:v>
      </x:c>
      <x:c r="C14" s="24" t="n">
        <x:v>1.35</x:v>
      </x:c>
      <x:c r="D14" s="24" t="n">
        <x:v>1.1</x:v>
      </x:c>
      <x:c r="E14" s="28" t="n">
        <x:f>INDEX(B14:D14,1,MATCH($B$3,$B$6:$D$6,0))</x:f>
        <x:v>1.15</x:v>
      </x:c>
      <x:c r="F14" s="15" t="str">
        <x:v>×</x:v>
      </x:c>
      <x:c r="G14" s="15" t="str">
        <x:v>Резерв на повторы и неудачные запросы.</x:v>
      </x:c>
    </x:row>
    <x:row r="15" ht="38" customHeight="1">
      <x:c r="A15" s="15" t="str">
        <x:v>Бюджетный курс USD</x:v>
      </x:c>
      <x:c r="B15" s="24" t="n">
        <x:v>100</x:v>
      </x:c>
      <x:c r="C15" s="24" t="n">
        <x:v>120</x:v>
      </x:c>
      <x:c r="D15" s="24" t="n">
        <x:v>90</x:v>
      </x:c>
      <x:c r="E15" s="28" t="n">
        <x:f>INDEX(B15:D15,1,MATCH($B$3,$B$6:$D$6,0))</x:f>
        <x:v>100</x:v>
      </x:c>
      <x:c r="F15" s="15" t="str">
        <x:v>₽ / USD</x:v>
      </x:c>
      <x:c r="G15" s="15" t="str">
        <x:v>Сценарное допущение; не текущий курс валют.</x:v>
      </x:c>
    </x:row>
    <x:row r="16" ht="38" customHeight="1">
      <x:c r="A16" s="15" t="str">
        <x:v>GPT-4o-mini: вход</x:v>
      </x:c>
      <x:c r="B16" s="24" t="n">
        <x:v>0.15</x:v>
      </x:c>
      <x:c r="C16" s="24" t="n">
        <x:v>0.15</x:v>
      </x:c>
      <x:c r="D16" s="24" t="n">
        <x:v>0.15</x:v>
      </x:c>
      <x:c r="E16" s="28" t="n">
        <x:f>INDEX(B16:D16,1,MATCH($B$3,$B$6:$D$6,0))</x:f>
        <x:v>0.15</x:v>
      </x:c>
      <x:c r="F16" s="15" t="str">
        <x:v>USD / 1 млн</x:v>
      </x:c>
      <x:c r="G16" s="15" t="str">
        <x:v>Официальный каталог OpenRouter, проверено 05.09.2026.</x:v>
      </x:c>
    </x:row>
    <x:row r="17" ht="38" customHeight="1">
      <x:c r="A17" s="15" t="str">
        <x:v>GPT-4o-mini: выход</x:v>
      </x:c>
      <x:c r="B17" s="24" t="n">
        <x:v>0.6</x:v>
      </x:c>
      <x:c r="C17" s="24" t="n">
        <x:v>0.6</x:v>
      </x:c>
      <x:c r="D17" s="24" t="n">
        <x:v>0.6</x:v>
      </x:c>
      <x:c r="E17" s="28" t="n">
        <x:f>INDEX(B17:D17,1,MATCH($B$3,$B$6:$D$6,0))</x:f>
        <x:v>0.6</x:v>
      </x:c>
      <x:c r="F17" s="15" t="str">
        <x:v>USD / 1 млн</x:v>
      </x:c>
      <x:c r="G17" s="15" t="str">
        <x:v>Официальный каталог OpenRouter, проверено 05.09.2026.</x:v>
      </x:c>
    </x:row>
    <x:row r="18" ht="38" customHeight="1">
      <x:c r="A18" s="15" t="str">
        <x:v>Резерв оплаты провайдера</x:v>
      </x:c>
      <x:c r="B18" s="20" t="n">
        <x:v>0.1</x:v>
      </x:c>
      <x:c r="C18" s="20" t="n">
        <x:v>0.2</x:v>
      </x:c>
      <x:c r="D18" s="20" t="n">
        <x:v>0.1</x:v>
      </x:c>
      <x:c r="E18" s="27" t="n">
        <x:f>INDEX(B18:D18,1,MATCH($B$3,$B$6:$D$6,0))</x:f>
        <x:v>0.1</x:v>
      </x:c>
      <x:c r="F18" s="15" t="str">
        <x:v>%</x:v>
      </x:c>
      <x:c r="G18" s="15" t="str">
        <x:v>Бюджетный резерв, не заявленная комиссия сервиса.</x:v>
      </x:c>
    </x:row>
    <x:row r="19" ht="38" customHeight="1">
      <x:c r="A19" s="15" t="str">
        <x:v>Инфраструктура клиента</x:v>
      </x:c>
      <x:c r="B19" s="16" t="n">
        <x:v>2500</x:v>
      </x:c>
      <x:c r="C19" s="16" t="n">
        <x:v>4000</x:v>
      </x:c>
      <x:c r="D19" s="16" t="n">
        <x:v>3000</x:v>
      </x:c>
      <x:c r="E19" s="26" t="n">
        <x:f>INDEX(B19:D19,1,MATCH($B$3,$B$6:$D$6,0))</x:f>
        <x:v>2500</x:v>
      </x:c>
      <x:c r="F19" s="15" t="str">
        <x:v>₽ / месяц</x:v>
      </x:c>
      <x:c r="G19" s="15" t="str">
        <x:v>Сервер, база, резервные копии: гипотеза распределения.</x:v>
      </x:c>
    </x:row>
    <x:row r="20" ht="38" customHeight="1">
      <x:c r="A20" s="15" t="str">
        <x:v>Сбор / права на данные</x:v>
      </x:c>
      <x:c r="B20" s="16" t="n">
        <x:v>1500</x:v>
      </x:c>
      <x:c r="C20" s="16" t="n">
        <x:v>3500</x:v>
      </x:c>
      <x:c r="D20" s="16" t="n">
        <x:v>2500</x:v>
      </x:c>
      <x:c r="E20" s="26" t="n">
        <x:f>INDEX(B20:D20,1,MATCH($B$3,$B$6:$D$6,0))</x:f>
        <x:v>1500</x:v>
      </x:c>
      <x:c r="F20" s="15" t="str">
        <x:v>₽ / месяц</x:v>
      </x:c>
      <x:c r="G20" s="15" t="str">
        <x:v>Резерв; реальная лицензия может стоить существенно больше.</x:v>
      </x:c>
    </x:row>
    <x:row r="21" ht="38" customHeight="1">
      <x:c r="A21" s="15" t="str">
        <x:v>Поддержка клиента</x:v>
      </x:c>
      <x:c r="B21" s="16" t="n">
        <x:v>2</x:v>
      </x:c>
      <x:c r="C21" s="16" t="n">
        <x:v>4</x:v>
      </x:c>
      <x:c r="D21" s="16" t="n">
        <x:v>3</x:v>
      </x:c>
      <x:c r="E21" s="26" t="n">
        <x:f>INDEX(B21:D21,1,MATCH($B$3,$B$6:$D$6,0))</x:f>
        <x:v>2</x:v>
      </x:c>
      <x:c r="F21" s="15" t="str">
        <x:v>часов / месяц</x:v>
      </x:c>
      <x:c r="G21" s="15" t="str">
        <x:v>Включённое сопровождение; не смешивать с развитием продукта.</x:v>
      </x:c>
    </x:row>
    <x:row r="22" ht="38" customHeight="1">
      <x:c r="A22" s="15" t="str">
        <x:v>Стоимость часа поддержки</x:v>
      </x:c>
      <x:c r="B22" s="16" t="n">
        <x:v>1500</x:v>
      </x:c>
      <x:c r="C22" s="16" t="n">
        <x:v>1800</x:v>
      </x:c>
      <x:c r="D22" s="16" t="n">
        <x:v>1500</x:v>
      </x:c>
      <x:c r="E22" s="26" t="n">
        <x:f>INDEX(B22:D22,1,MATCH($B$3,$B$6:$D$6,0))</x:f>
        <x:v>1500</x:v>
      </x:c>
      <x:c r="F22" s="15" t="str">
        <x:v>₽ / час</x:v>
      </x:c>
      <x:c r="G22" s="15" t="str">
        <x:v>Полная стоимость труда; гипотеза.</x:v>
      </x:c>
    </x:row>
    <x:row r="23" ht="38" customHeight="1">
      <x:c r="A23" s="15" t="str">
        <x:v>Проверка качества</x:v>
      </x:c>
      <x:c r="B23" s="16" t="n">
        <x:v>2</x:v>
      </x:c>
      <x:c r="C23" s="16" t="n">
        <x:v>4</x:v>
      </x:c>
      <x:c r="D23" s="16" t="n">
        <x:v>2</x:v>
      </x:c>
      <x:c r="E23" s="26" t="n">
        <x:f>INDEX(B23:D23,1,MATCH($B$3,$B$6:$D$6,0))</x:f>
        <x:v>2</x:v>
      </x:c>
      <x:c r="F23" s="15" t="str">
        <x:v>часов / месяц</x:v>
      </x:c>
      <x:c r="G23" s="15" t="str">
        <x:v>Выборочная проверка; не ручной анализ всех статей.</x:v>
      </x:c>
    </x:row>
    <x:row r="24" ht="38" customHeight="1">
      <x:c r="A24" s="15" t="str">
        <x:v>Стоимость часа аналитика</x:v>
      </x:c>
      <x:c r="B24" s="16" t="n">
        <x:v>2000</x:v>
      </x:c>
      <x:c r="C24" s="16" t="n">
        <x:v>2200</x:v>
      </x:c>
      <x:c r="D24" s="16" t="n">
        <x:v>2000</x:v>
      </x:c>
      <x:c r="E24" s="26" t="n">
        <x:f>INDEX(B24:D24,1,MATCH($B$3,$B$6:$D$6,0))</x:f>
        <x:v>2000</x:v>
      </x:c>
      <x:c r="F24" s="15" t="str">
        <x:v>₽ / час</x:v>
      </x:c>
      <x:c r="G24" s="15" t="str">
        <x:v>Гипотеза полной стоимости труда.</x:v>
      </x:c>
    </x:row>
    <x:row r="25" ht="38" customHeight="1">
      <x:c r="A25" s="15" t="str">
        <x:v>Расходы на оплату подписки</x:v>
      </x:c>
      <x:c r="B25" s="20" t="n">
        <x:v>0.01</x:v>
      </x:c>
      <x:c r="C25" s="20" t="n">
        <x:v>0.015</x:v>
      </x:c>
      <x:c r="D25" s="20" t="n">
        <x:v>0.01</x:v>
      </x:c>
      <x:c r="E25" s="27" t="n">
        <x:f>INDEX(B25:D25,1,MATCH($B$3,$B$6:$D$6,0))</x:f>
        <x:v>0.01</x:v>
      </x:c>
      <x:c r="F25" s="15" t="str">
        <x:v>% выручки</x:v>
      </x:c>
      <x:c r="G25" s="15" t="str">
        <x:v>Резерв на расчёты с клиентом; не тариф банка.</x:v>
      </x:c>
    </x:row>
    <x:row r="26" ht="38" customHeight="1">
      <x:c r="A26" s="15" t="str">
        <x:v>Месячный отток договоров</x:v>
      </x:c>
      <x:c r="B26" s="20" t="n">
        <x:v>0.015</x:v>
      </x:c>
      <x:c r="C26" s="20" t="n">
        <x:v>0.03</x:v>
      </x:c>
      <x:c r="D26" s="20" t="n">
        <x:v>0.01</x:v>
      </x:c>
      <x:c r="E26" s="27" t="n">
        <x:f>INDEX(B26:D26,1,MATCH($B$3,$B$6:$D$6,0))</x:f>
        <x:v>0.015</x:v>
      </x:c>
      <x:c r="F26" s="15" t="str">
        <x:v>%</x:v>
      </x:c>
      <x:c r="G26" s="15" t="str">
        <x:v>Сценарный logo churn; фактических когорт нет.</x:v>
      </x:c>
    </x:row>
    <x:row r="27" ht="38" customHeight="1">
      <x:c r="A27" s="15" t="str">
        <x:v>Горизонт ограниченного LTV</x:v>
      </x:c>
      <x:c r="B27" s="16" t="n">
        <x:v>24</x:v>
      </x:c>
      <x:c r="C27" s="16" t="n">
        <x:v>24</x:v>
      </x:c>
      <x:c r="D27" s="16" t="n">
        <x:v>24</x:v>
      </x:c>
      <x:c r="E27" s="26" t="n">
        <x:f>INDEX(B27:D27,1,MATCH($B$3,$B$6:$D$6,0))</x:f>
        <x:v>24</x:v>
      </x:c>
      <x:c r="F27" s="15" t="str">
        <x:v>месяцев</x:v>
      </x:c>
      <x:c r="G27" s="15" t="str">
        <x:v>LTV ограничен 24 месяцами; не вечная рента.</x:v>
      </x:c>
    </x:row>
    <x:row r="28" ht="38" customHeight="1">
      <x:c r="A28" s="15" t="str">
        <x:v>Квалифицированные лиды M1</x:v>
      </x:c>
      <x:c r="B28" s="16" t="n">
        <x:v>6</x:v>
      </x:c>
      <x:c r="C28" s="16" t="n">
        <x:v>4</x:v>
      </x:c>
      <x:c r="D28" s="16" t="n">
        <x:v>8</x:v>
      </x:c>
      <x:c r="E28" s="26" t="n">
        <x:f>INDEX(B28:D28,1,MATCH($B$3,$B$6:$D$6,0))</x:f>
        <x:v>6</x:v>
      </x:c>
      <x:c r="F28" s="15" t="str">
        <x:v>шт. / месяц</x:v>
      </x:c>
      <x:c r="G28" s="15" t="str">
        <x:v>Согласована проблема, есть покупатель и потенциальный бюджет.</x:v>
      </x:c>
    </x:row>
    <x:row r="29" ht="38" customHeight="1">
      <x:c r="A29" s="15" t="str">
        <x:v>Прирост лидов ежемесячно</x:v>
      </x:c>
      <x:c r="B29" s="24" t="n">
        <x:v>1</x:v>
      </x:c>
      <x:c r="C29" s="24" t="n">
        <x:v>0.5</x:v>
      </x:c>
      <x:c r="D29" s="24" t="n">
        <x:v>1.5</x:v>
      </x:c>
      <x:c r="E29" s="28" t="n">
        <x:f>INDEX(B29:D29,1,MATCH($B$3,$B$6:$D$6,0))</x:f>
        <x:v>1</x:v>
      </x:c>
      <x:c r="F29" s="15" t="str">
        <x:v>шт. / месяц</x:v>
      </x:c>
      <x:c r="G29" s="15" t="str">
        <x:v>Гипотеза воронки; допускаются ожидаемые дробные значения.</x:v>
      </x:c>
    </x:row>
    <x:row r="30" ht="38" customHeight="1">
      <x:c r="A30" s="15" t="str">
        <x:v>Конверсия лид → пилот</x:v>
      </x:c>
      <x:c r="B30" s="20" t="n">
        <x:v>0.3</x:v>
      </x:c>
      <x:c r="C30" s="20" t="n">
        <x:v>0.2</x:v>
      </x:c>
      <x:c r="D30" s="20" t="n">
        <x:v>0.4</x:v>
      </x:c>
      <x:c r="E30" s="27" t="n">
        <x:f>INDEX(B30:D30,1,MATCH($B$3,$B$6:$D$6,0))</x:f>
        <x:v>0.3</x:v>
      </x:c>
      <x:c r="F30" s="15" t="str">
        <x:v>%</x:v>
      </x:c>
      <x:c r="G30" s="15" t="str">
        <x:v>Пилот начинается в месяце квалификации.</x:v>
      </x:c>
    </x:row>
    <x:row r="31" ht="38" customHeight="1">
      <x:c r="A31" s="15" t="str">
        <x:v>Конверсия пилот → договор</x:v>
      </x:c>
      <x:c r="B31" s="20" t="n">
        <x:v>0.5</x:v>
      </x:c>
      <x:c r="C31" s="20" t="n">
        <x:v>0.3</x:v>
      </x:c>
      <x:c r="D31" s="20" t="n">
        <x:v>0.6</x:v>
      </x:c>
      <x:c r="E31" s="27" t="n">
        <x:f>INDEX(B31:D31,1,MATCH($B$3,$B$6:$D$6,0))</x:f>
        <x:v>0.5</x:v>
      </x:c>
      <x:c r="F31" s="15" t="str">
        <x:v>%</x:v>
      </x:c>
      <x:c r="G31" s="15" t="str">
        <x:v>Применяется к пилотам после указанного лага.</x:v>
      </x:c>
    </x:row>
    <x:row r="32" ht="38" customHeight="1">
      <x:c r="A32" s="15" t="str">
        <x:v>Лаг пилот → договор</x:v>
      </x:c>
      <x:c r="B32" s="16" t="n">
        <x:v>2</x:v>
      </x:c>
      <x:c r="C32" s="16" t="n">
        <x:v>3</x:v>
      </x:c>
      <x:c r="D32" s="16" t="n">
        <x:v>2</x:v>
      </x:c>
      <x:c r="E32" s="26" t="n">
        <x:f>INDEX(B32:D32,1,MATCH($B$3,$B$6:$D$6,0))</x:f>
        <x:v>2</x:v>
      </x:c>
      <x:c r="F32" s="15" t="str">
        <x:v>месяцев</x:v>
      </x:c>
      <x:c r="G32" s="15" t="str">
        <x:v>Упрощение цикла закупки; лидогенерация до квалификации в CAC.</x:v>
      </x:c>
    </x:row>
    <x:row r="33" ht="38" customHeight="1">
      <x:c r="A33" s="15" t="str">
        <x:v>Затраты на квалиф. лид</x:v>
      </x:c>
      <x:c r="B33" s="16" t="n">
        <x:v>18000</x:v>
      </x:c>
      <x:c r="C33" s="16" t="n">
        <x:v>25000</x:v>
      </x:c>
      <x:c r="D33" s="16" t="n">
        <x:v>15000</x:v>
      </x:c>
      <x:c r="E33" s="26" t="n">
        <x:f>INDEX(B33:D33,1,MATCH($B$3,$B$6:$D$6,0))</x:f>
        <x:v>18000</x:v>
      </x:c>
      <x:c r="F33" s="15" t="str">
        <x:v>₽ / лид</x:v>
      </x:c>
      <x:c r="G33" s="15" t="str">
        <x:v>Включает продажи, контент, время встреч; не включено в fixed OPEX.</x:v>
      </x:c>
    </x:row>
    <x:row r="34" ht="38" customHeight="1">
      <x:c r="A34" s="15" t="str">
        <x:v>Выполнение пилота</x:v>
      </x:c>
      <x:c r="B34" s="16" t="n">
        <x:v>12</x:v>
      </x:c>
      <x:c r="C34" s="16" t="n">
        <x:v>18</x:v>
      </x:c>
      <x:c r="D34" s="16" t="n">
        <x:v>12</x:v>
      </x:c>
      <x:c r="E34" s="26" t="n">
        <x:f>INDEX(B34:D34,1,MATCH($B$3,$B$6:$D$6,0))</x:f>
        <x:v>12</x:v>
      </x:c>
      <x:c r="F34" s="15" t="str">
        <x:v>часов / пилот</x:v>
      </x:c>
      <x:c r="G34" s="15" t="str">
        <x:v>Оплачивается по стоимости часа поддержки.</x:v>
      </x:c>
    </x:row>
    <x:row r="35" ht="38" customHeight="1">
      <x:c r="A35" s="15" t="str">
        <x:v>Подключение договора</x:v>
      </x:c>
      <x:c r="B35" s="16" t="n">
        <x:v>8</x:v>
      </x:c>
      <x:c r="C35" s="16" t="n">
        <x:v>12</x:v>
      </x:c>
      <x:c r="D35" s="16" t="n">
        <x:v>8</x:v>
      </x:c>
      <x:c r="E35" s="26" t="n">
        <x:f>INDEX(B35:D35,1,MATCH($B$3,$B$6:$D$6,0))</x:f>
        <x:v>8</x:v>
      </x:c>
      <x:c r="F35" s="15" t="str">
        <x:v>часов / договор</x:v>
      </x:c>
      <x:c r="G35" s="15" t="str">
        <x:v>Отдельно от работ по пилоту.</x:v>
      </x:c>
    </x:row>
    <x:row r="36" ht="38" customHeight="1">
      <x:c r="A36" s="15" t="str">
        <x:v>Разработка продукта</x:v>
      </x:c>
      <x:c r="B36" s="16" t="n">
        <x:v>200000</x:v>
      </x:c>
      <x:c r="C36" s="16" t="n">
        <x:v>200000</x:v>
      </x:c>
      <x:c r="D36" s="16" t="n">
        <x:v>300000</x:v>
      </x:c>
      <x:c r="E36" s="26" t="n">
        <x:f>INDEX(B36:D36,1,MATCH($B$3,$B$6:$D$6,0))</x:f>
        <x:v>200000</x:v>
      </x:c>
      <x:c r="F36" s="15" t="str">
        <x:v>₽ / месяц</x:v>
      </x:c>
      <x:c r="G36" s="15" t="str">
        <x:v>Полная стоимость команды разработки; гипотеза.</x:v>
      </x:c>
    </x:row>
    <x:row r="37" ht="38" customHeight="1">
      <x:c r="A37" s="15" t="str">
        <x:v>Продукт / основатель</x:v>
      </x:c>
      <x:c r="B37" s="16" t="n">
        <x:v>120000</x:v>
      </x:c>
      <x:c r="C37" s="16" t="n">
        <x:v>120000</x:v>
      </x:c>
      <x:c r="D37" s="16" t="n">
        <x:v>160000</x:v>
      </x:c>
      <x:c r="E37" s="26" t="n">
        <x:f>INDEX(B37:D37,1,MATCH($B$3,$B$6:$D$6,0))</x:f>
        <x:v>120000</x:v>
      </x:c>
      <x:c r="F37" s="15" t="str">
        <x:v>₽ / месяц</x:v>
      </x:c>
      <x:c r="G37" s="15" t="str">
        <x:v>Продуктовая работа, без времени продаж и поддержки.</x:v>
      </x:c>
    </x:row>
    <x:row r="38" ht="38" customHeight="1">
      <x:c r="A38" s="15" t="str">
        <x:v>Общая инфраструктура</x:v>
      </x:c>
      <x:c r="B38" s="16" t="n">
        <x:v>15000</x:v>
      </x:c>
      <x:c r="C38" s="16" t="n">
        <x:v>20000</x:v>
      </x:c>
      <x:c r="D38" s="16" t="n">
        <x:v>25000</x:v>
      </x:c>
      <x:c r="E38" s="26" t="n">
        <x:f>INDEX(B38:D38,1,MATCH($B$3,$B$6:$D$6,0))</x:f>
        <x:v>15000</x:v>
      </x:c>
      <x:c r="F38" s="15" t="str">
        <x:v>₽ / месяц</x:v>
      </x:c>
      <x:c r="G38" s="15" t="str">
        <x:v>Общие dev-сервисы и мониторинг, сверх клиентского COGS.</x:v>
      </x:c>
    </x:row>
    <x:row r="39" ht="38" customHeight="1">
      <x:c r="A39" s="15" t="str">
        <x:v>Административные расходы</x:v>
      </x:c>
      <x:c r="B39" s="16" t="n">
        <x:v>50000</x:v>
      </x:c>
      <x:c r="C39" s="16" t="n">
        <x:v>60000</x:v>
      </x:c>
      <x:c r="D39" s="16" t="n">
        <x:v>60000</x:v>
      </x:c>
      <x:c r="E39" s="26" t="n">
        <x:f>INDEX(B39:D39,1,MATCH($B$3,$B$6:$D$6,0))</x:f>
        <x:v>50000</x:v>
      </x:c>
      <x:c r="F39" s="15" t="str">
        <x:v>₽ / месяц</x:v>
      </x:c>
      <x:c r="G39" s="15" t="str">
        <x:v>Учёт, договоры, прочие расходы; гипотеза.</x:v>
      </x:c>
    </x:row>
    <x:row r="40" ht="38" customHeight="1">
      <x:c r="A40" s="15" t="str">
        <x:v>Начальные деньги</x:v>
      </x:c>
      <x:c r="B40" s="16" t="n">
        <x:v>2000000</x:v>
      </x:c>
      <x:c r="C40" s="16" t="n">
        <x:v>2000000</x:v>
      </x:c>
      <x:c r="D40" s="16" t="n">
        <x:v>3000000</x:v>
      </x:c>
      <x:c r="E40" s="26" t="n">
        <x:f>INDEX(B40:D40,1,MATCH($B$3,$B$6:$D$6,0))</x:f>
        <x:v>2000000</x:v>
      </x:c>
      <x:c r="F40" s="15" t="str">
        <x:v>₽</x:v>
      </x:c>
      <x:c r="G40" s="15" t="str">
        <x:v>Условное финансирование модели, не фактически привлечённые деньги.</x:v>
      </x:c>
    </x:row>
    <x:row r="41" ht="38" customHeight="1">
      <x:c r="A41" s="15" t="str">
        <x:v>Разовые затраты запуска</x:v>
      </x:c>
      <x:c r="B41" s="16" t="n">
        <x:v>250000</x:v>
      </x:c>
      <x:c r="C41" s="16" t="n">
        <x:v>350000</x:v>
      </x:c>
      <x:c r="D41" s="16" t="n">
        <x:v>350000</x:v>
      </x:c>
      <x:c r="E41" s="26" t="n">
        <x:f>INDEX(B41:D41,1,MATCH($B$3,$B$6:$D$6,0))</x:f>
        <x:v>250000</x:v>
      </x:c>
      <x:c r="F41" s="15" t="str">
        <x:v>₽ в M1</x:v>
      </x:c>
      <x:c r="G41" s="15" t="str">
        <x:v>Не включают уже учтённый ежемесячный труд.</x:v>
      </x:c>
    </x:row>
    <x:row r="42" ht="38" customHeight="1">
      <x:c r="A42" s="15" t="str">
        <x:v>Задержка оплаты</x:v>
      </x:c>
      <x:c r="B42" s="16" t="n">
        <x:v>1</x:v>
      </x:c>
      <x:c r="C42" s="16" t="n">
        <x:v>2</x:v>
      </x:c>
      <x:c r="D42" s="16" t="n">
        <x:v>1</x:v>
      </x:c>
      <x:c r="E42" s="26" t="n">
        <x:f>INDEX(B42:D42,1,MATCH($B$3,$B$6:$D$6,0))</x:f>
        <x:v>1</x:v>
      </x:c>
      <x:c r="F42" s="15" t="str">
        <x:v>месяцев</x:v>
      </x:c>
      <x:c r="G42" s="15" t="str">
        <x:v>Консервативно: помесячный биллинг. Годовой аванс не учтён.</x:v>
      </x:c>
    </x:row>
    <x:row r="43" ht="27" customHeight="1">
      <x:c r="A43" s="2"/>
      <x:c r="B43" s="2"/>
      <x:c r="C43" s="2"/>
      <x:c r="D43" s="2"/>
      <x:c r="E43" s="2"/>
      <x:c r="F43" s="2"/>
      <x:c r="G43" s="2"/>
    </x:row>
    <x:row r="44" ht="27" customHeight="1">
      <x:c r="A44" s="2"/>
      <x:c r="B44" s="2"/>
      <x:c r="C44" s="2"/>
      <x:c r="D44" s="2"/>
      <x:c r="E44" s="2"/>
      <x:c r="F44" s="2"/>
      <x:c r="G44" s="2"/>
    </x:row>
  </x:sheetData>
  <x:mergeCells>
    <x:mergeCell ref="A1:G2"/>
    <x:mergeCell ref="A4:G4"/>
  </x:mergeCells>
  <x:dataValidations count="3">
    <x:dataValidation type="list" sqref="B3">
      <x:formula1>"База,Осторожный,Рост"</x:formula1>
    </x:dataValidation>
    <x:dataValidation type="whole" operator="between" sqref="B32:D32">
      <x:formula1>0</x:formula1>
      <x:formula2>12</x:formula2>
    </x:dataValidation>
    <x:dataValidation type="whole" operator="between" sqref="B42:D42">
      <x:formula1>0</x:formula1>
      <x:formula2>12</x:formula2>
    </x:dataValidation>
  </x:dataValidations>
  <x:pageMargins left="0.7" right="0.7" top="0.75" bottom="0.75" header="0.3" footer="0.3"/>
  <x:legacyDrawing xmlns:r="http://schemas.openxmlformats.org/officeDocument/2006/relationships" r:id="Rbe8b7e68a7774bc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8" hidden="0" customWidth="1"/>
    <x:col min="3" max="3" width="23" hidden="0" customWidth="1"/>
    <x:col min="4" max="4" width="6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4" t="str">
        <x:v>Unit-экономика · один договор</x:v>
      </x:c>
      <x:c r="B1" s="4"/>
      <x:c r="C1" s="4"/>
      <x:c r="D1" s="4"/>
    </x:row>
    <x:row r="2" ht="25" customHeight="1">
      <x:c r="A2" s="4"/>
      <x:c r="B2" s="4"/>
      <x:c r="C2" s="4"/>
      <x:c r="D2" s="4"/>
    </x:row>
    <x:row r="3" ht="27" customHeight="1">
      <x:c r="A3" s="2"/>
      <x:c r="B3" s="2"/>
      <x:c r="C3" s="2"/>
      <x:c r="D3" s="2"/>
    </x:row>
    <x:row r="4" ht="38" customHeight="1">
      <x:c r="A4" s="6" t="str">
        <x:v>Единица: подписка Team на одну продуктовую команду. Расчёты до налогов; выручка без НДС.</x:v>
      </x:c>
      <x:c r="B4" s="6"/>
      <x:c r="C4" s="6"/>
      <x:c r="D4" s="6"/>
    </x:row>
    <x:row r="5" ht="27" customHeight="1">
      <x:c r="A5" s="2"/>
      <x:c r="B5" s="2"/>
      <x:c r="C5" s="2"/>
      <x:c r="D5" s="2"/>
    </x:row>
    <x:row r="6" ht="38" customHeight="1">
      <x:c r="A6" s="9" t="str">
        <x:v>Показатель</x:v>
      </x:c>
      <x:c r="B6" s="9" t="str">
        <x:v>Значение</x:v>
      </x:c>
      <x:c r="C6" s="9" t="str">
        <x:v>Единица</x:v>
      </x:c>
      <x:c r="D6" s="9" t="str">
        <x:v>Логика</x:v>
      </x:c>
    </x:row>
    <x:row r="7" ht="39" customHeight="1">
      <x:c r="A7" s="15" t="str">
        <x:v>Новых статей для ИИ</x:v>
      </x:c>
      <x:c r="B7" s="17" t="n">
        <x:f>'Допущения'!$E$10*'Допущения'!$E$11</x:f>
        <x:v>1950</x:v>
      </x:c>
      <x:c r="C7" s="15" t="str">
        <x:v>шт. / месяц</x:v>
      </x:c>
      <x:c r="D7" s="15" t="str">
        <x:v>Объём × доля без кэша</x:v>
      </x:c>
    </x:row>
    <x:row r="8" ht="39" customHeight="1">
      <x:c r="A8" s="15" t="str">
        <x:v>Цена одного ИИ-анализа</x:v>
      </x:c>
      <x:c r="B8" s="25" t="n">
        <x:f>('Допущения'!$E$12*'Допущения'!$E$16+'Допущения'!$E$13*'Допущения'!$E$17)/1000000*'Допущения'!$E$15*'Допущения'!$E$14*(1+'Допущения'!$E$18)</x:f>
        <x:v>0.07020750000000002</x:v>
      </x:c>
      <x:c r="C8" s="15" t="str">
        <x:v>₽ / статья</x:v>
      </x:c>
      <x:c r="D8" s="15" t="str">
        <x:v>Вход + выход, курс, повторы и резерв оплаты</x:v>
      </x:c>
    </x:row>
    <x:row r="9" ht="39" customHeight="1">
      <x:c r="A9" s="15" t="str">
        <x:v>ИИ на один договор</x:v>
      </x:c>
      <x:c r="B9" s="17" t="n">
        <x:f>B7*B8</x:f>
        <x:v>136.90462500000004</x:v>
      </x:c>
      <x:c r="C9" s="15" t="str">
        <x:v>₽ / месяц</x:v>
      </x:c>
      <x:c r="D9" s="15" t="str">
        <x:v>Персональный анализ на клиента; общий межклиентский кэш не предполагается</x:v>
      </x:c>
    </x:row>
    <x:row r="10" ht="39" customHeight="1">
      <x:c r="A10" s="15" t="str">
        <x:v>Инфраструктура</x:v>
      </x:c>
      <x:c r="B10" s="17" t="n">
        <x:f>'Допущения'!$E$19</x:f>
        <x:v>2500</x:v>
      </x:c>
      <x:c r="C10" s="15" t="str">
        <x:v>₽ / месяц</x:v>
      </x:c>
      <x:c r="D10" s="15" t="str">
        <x:v>Клиентская доля сервера, базы и копий</x:v>
      </x:c>
    </x:row>
    <x:row r="11" ht="39" customHeight="1">
      <x:c r="A11" s="15" t="str">
        <x:v>Сбор и права на данные</x:v>
      </x:c>
      <x:c r="B11" s="17" t="n">
        <x:f>'Допущения'!$E$20</x:f>
        <x:v>1500</x:v>
      </x:c>
      <x:c r="C11" s="15" t="str">
        <x:v>₽ / месяц</x:v>
      </x:c>
      <x:c r="D11" s="15" t="str">
        <x:v>Резерв расходов, требующий проверки</x:v>
      </x:c>
    </x:row>
    <x:row r="12" ht="39" customHeight="1">
      <x:c r="A12" s="15" t="str">
        <x:v>Поддержка</x:v>
      </x:c>
      <x:c r="B12" s="17" t="n">
        <x:f>'Допущения'!$E$21*'Допущения'!$E$22</x:f>
        <x:v>3000</x:v>
      </x:c>
      <x:c r="C12" s="15" t="str">
        <x:v>₽ / месяц</x:v>
      </x:c>
      <x:c r="D12" s="15" t="str">
        <x:v>Часы × полная стоимость часа</x:v>
      </x:c>
    </x:row>
    <x:row r="13" ht="39" customHeight="1">
      <x:c r="A13" s="15" t="str">
        <x:v>Проверка качества</x:v>
      </x:c>
      <x:c r="B13" s="17" t="n">
        <x:f>'Допущения'!$E$23*'Допущения'!$E$24</x:f>
        <x:v>4000</x:v>
      </x:c>
      <x:c r="C13" s="15" t="str">
        <x:v>₽ / месяц</x:v>
      </x:c>
      <x:c r="D13" s="15" t="str">
        <x:v>Часы × полная стоимость часа</x:v>
      </x:c>
    </x:row>
    <x:row r="14" ht="39" customHeight="1">
      <x:c r="A14" s="15" t="str">
        <x:v>Расчёты с клиентом</x:v>
      </x:c>
      <x:c r="B14" s="17" t="n">
        <x:f>'Допущения'!$E$7*'Допущения'!$E$25</x:f>
        <x:v>490</x:v>
      </x:c>
      <x:c r="C14" s="15" t="str">
        <x:v>₽ / месяц</x:v>
      </x:c>
      <x:c r="D14" s="15" t="str">
        <x:v>Процент от подписки</x:v>
      </x:c>
    </x:row>
    <x:row r="15" ht="39" customHeight="1">
      <x:c r="A15" s="31" t="str">
        <x:v>COGS на один договор</x:v>
      </x:c>
      <x:c r="B15" s="26" t="n">
        <x:f>SUM(B9:B14)</x:f>
        <x:v>11626.904625</x:v>
      </x:c>
      <x:c r="C15" s="31" t="str">
        <x:v>₽ / месяц</x:v>
      </x:c>
      <x:c r="D15" s="31" t="str">
        <x:v>Прямые расходы обслуживания клиента</x:v>
      </x:c>
    </x:row>
    <x:row r="16" ht="39" customHeight="1">
      <x:c r="A16" s="15" t="str">
        <x:v>ARPA / MRR на договор</x:v>
      </x:c>
      <x:c r="B16" s="17" t="n">
        <x:f>'Допущения'!$E$7</x:f>
        <x:v>49000</x:v>
      </x:c>
      <x:c r="C16" s="15" t="str">
        <x:v>₽ / месяц</x:v>
      </x:c>
      <x:c r="D16" s="15" t="str">
        <x:v>Подписка, без пилота и подключения</x:v>
      </x:c>
    </x:row>
    <x:row r="17" ht="39" customHeight="1">
      <x:c r="A17" s="31" t="str">
        <x:v>Валовой вклад договора</x:v>
      </x:c>
      <x:c r="B17" s="26" t="n">
        <x:f>B16-B15</x:f>
        <x:v>37373.095375000004</x:v>
      </x:c>
      <x:c r="C17" s="31" t="str">
        <x:v>₽ / месяц</x:v>
      </x:c>
      <x:c r="D17" s="31" t="str">
        <x:v>Подписка минус COGS</x:v>
      </x:c>
    </x:row>
    <x:row r="18" ht="39" customHeight="1">
      <x:c r="A18" s="31" t="str">
        <x:v>Валовая маржа</x:v>
      </x:c>
      <x:c r="B18" s="27" t="n">
        <x:f>IFERROR(B17/B16,0)</x:f>
        <x:v>0.7627162321428572</x:v>
      </x:c>
      <x:c r="C18" s="31" t="str">
        <x:v>%</x:v>
      </x:c>
      <x:c r="D18" s="31" t="str">
        <x:v>Не чистая прибыль компании</x:v>
      </x:c>
    </x:row>
    <x:row r="19" ht="39" customHeight="1">
      <x:c r="A19" s="31" t="str">
        <x:v>CAC без зачёта прибыли пилота</x:v>
      </x:c>
      <x:c r="B19" s="26" t="n">
        <x:f>IFERROR('Допущения'!$E$33/('Допущения'!$E$30*'Допущения'!$E$31),0)</x:f>
        <x:v>120000</x:v>
      </x:c>
      <x:c r="C19" s="31" t="str">
        <x:v>₽ / договор</x:v>
      </x:c>
      <x:c r="D19" s="31" t="str">
        <x:v>Затраты на квалифицированный лид / две конверсии</x:v>
      </x:c>
    </x:row>
    <x:row r="20" ht="39" customHeight="1">
      <x:c r="A20" s="15" t="str">
        <x:v>Окупаемость CAC</x:v>
      </x:c>
      <x:c r="B20" s="25" t="n">
        <x:f>IF(B17&gt;0,B19/B17,0)</x:f>
        <x:v>3.210865966437226</x:v>
      </x:c>
      <x:c r="C20" s="15" t="str">
        <x:v>месяцев</x:v>
      </x:c>
      <x:c r="D20" s="15" t="str">
        <x:v>CAC / месячный валовой вклад</x:v>
      </x:c>
    </x:row>
    <x:row r="21" ht="39" customHeight="1">
      <x:c r="A21" s="31" t="str">
        <x:v>LTV на 24 месяца</x:v>
      </x:c>
      <x:c r="B21" s="26" t="n">
        <x:f>IF('Допущения'!$E$26=0,B17*'Допущения'!$E$27,B17*(1-(1-'Допущения'!$E$26)^'Допущения'!$E$27)/'Допущения'!$E$26)</x:f>
        <x:v>757985.8208266246</x:v>
      </x:c>
      <x:c r="C21" s="31" t="str">
        <x:v>₽ / договор</x:v>
      </x:c>
      <x:c r="D21" s="31" t="str">
        <x:v>Валовой вклад с геометрическим оттоком, горизонт ограничен</x:v>
      </x:c>
    </x:row>
    <x:row r="22" ht="39" customHeight="1">
      <x:c r="A22" s="31" t="str">
        <x:v>LTV / CAC</x:v>
      </x:c>
      <x:c r="B22" s="28" t="n">
        <x:f>IFERROR(B21/B19,0)</x:f>
        <x:v>6.316548506888538</x:v>
      </x:c>
      <x:c r="C22" s="31" t="str">
        <x:v>×</x:v>
      </x:c>
      <x:c r="D22" s="31" t="str">
        <x:v>Сценарная оценка, удержание пока не измерено</x:v>
      </x:c>
    </x:row>
    <x:row r="23" ht="39" customHeight="1">
      <x:c r="A23" s="15" t="str">
        <x:v>Постоянные расходы</x:v>
      </x:c>
      <x:c r="B23" s="17" t="n">
        <x:f>SUM('Допущения'!E36:E39)</x:f>
        <x:v>385000</x:v>
      </x:c>
      <x:c r="C23" s="15" t="str">
        <x:v>₽ / месяц</x:v>
      </x:c>
      <x:c r="D23" s="15" t="str">
        <x:v>Разработка + продукт + общая инфраструктура + администрирование</x:v>
      </x:c>
    </x:row>
    <x:row r="24" ht="39" customHeight="1">
      <x:c r="A24" s="15" t="str">
        <x:v>Безубыточность без роста продаж</x:v>
      </x:c>
      <x:c r="B24" s="17" t="n">
        <x:f>IF(B17&gt;0,ROUNDUP(B23/B17,0),0)</x:f>
        <x:v>11</x:v>
      </x:c>
      <x:c r="C24" s="15" t="str">
        <x:v>договоров</x:v>
      </x:c>
      <x:c r="D24" s="15" t="str">
        <x:v>Покрытие fixed OPEX; без CAC и разовой прибыли</x:v>
      </x:c>
    </x:row>
    <x:row r="25" ht="39" customHeight="1">
      <x:c r="A25" s="31" t="str">
        <x:v>Безубыточность с заменой оттока</x:v>
      </x:c>
      <x:c r="B25" s="26" t="n">
        <x:f>IF(B17-'Допущения'!$E$26*B19&gt;0,ROUNDUP(B23/(B17-'Допущения'!$E$26*B19),0),0)</x:f>
        <x:v>11</x:v>
      </x:c>
      <x:c r="C25" s="31" t="str">
        <x:v>договоров</x:v>
      </x:c>
      <x:c r="D25" s="31" t="str">
        <x:v>Учитывает CAC для замены ушедших клиентов, не ускоренный рост</x:v>
      </x:c>
    </x:row>
    <x:row r="26" ht="39" customHeight="1">
      <x:c r="A26" s="15" t="str">
        <x:v>Пилот: валовой вклад</x:v>
      </x:c>
      <x:c r="B26" s="17" t="n">
        <x:f>'Допущения'!$E$8-'Допущения'!$E$34*'Допущения'!$E$22</x:f>
        <x:v>27000</x:v>
      </x:c>
      <x:c r="C26" s="15" t="str">
        <x:v>₽ / пилот</x:v>
      </x:c>
      <x:c r="D26" s="15" t="str">
        <x:v>Выручка пилота минус труд; фиксированные расходы отдельно</x:v>
      </x:c>
    </x:row>
    <x:row r="27" ht="39" customHeight="1">
      <x:c r="A27" s="15" t="str">
        <x:v>Подключение: валовой вклад</x:v>
      </x:c>
      <x:c r="B27" s="17" t="n">
        <x:f>'Допущения'!$E$9-'Допущения'!$E$35*'Допущения'!$E$22</x:f>
        <x:v>18000</x:v>
      </x:c>
      <x:c r="C27" s="15" t="str">
        <x:v>₽ / договор</x:v>
      </x:c>
      <x:c r="D27" s="15" t="str">
        <x:v>Подключение минус труд; не включено в LTV</x:v>
      </x:c>
    </x:row>
    <x:row r="28" ht="39" customHeight="1">
      <x:c r="A28" s="15" t="str">
        <x:v>Статус unit-модели</x:v>
      </x:c>
      <x:c r="B28" s="17" t="str">
        <x:f>IF(AND(B17&gt;0,B19&gt;0,'Допущения'!$E$30&gt;0,'Допущения'!$E$31&gt;0),"РАСЧЁТ ПРИМЕНИМ","НЕТ ОКУПАЕМОСТИ / ПРОВЕРЬТЕ ВХОДЫ")</x:f>
        <x:v>РАСЧЁТ ПРИМЕНИМ</x:v>
      </x:c>
      <x:c r="C28" s="15" t="str"/>
      <x:c r="D28" s="15" t="str">
        <x:v>Нулевые значения payback и break-even при отрицательном вкладе не означают окупаемость</x:v>
      </x:c>
    </x:row>
    <x:row r="29" ht="27" customHeight="1">
      <x:c r="A29" s="2"/>
      <x:c r="B29" s="2"/>
      <x:c r="C29" s="2"/>
      <x:c r="D29" s="2"/>
    </x:row>
    <x:row r="30" ht="27" customHeight="1">
      <x:c r="A30" s="2"/>
      <x:c r="B30" s="2"/>
      <x:c r="C30" s="2"/>
      <x:c r="D30" s="2"/>
    </x:row>
    <x:row r="31" ht="27" customHeight="1">
      <x:c r="A31" s="2"/>
      <x:c r="B31" s="2"/>
      <x:c r="C31" s="2"/>
      <x:c r="D31" s="2"/>
    </x:row>
    <x:row r="32" ht="27" customHeight="1">
      <x:c r="A32" s="2"/>
      <x:c r="B32" s="2"/>
      <x:c r="C32" s="2"/>
      <x:c r="D32" s="2"/>
    </x:row>
    <x:row r="33" ht="27" customHeight="1">
      <x:c r="A33" s="2"/>
      <x:c r="B33" s="2"/>
      <x:c r="C33" s="2"/>
      <x:c r="D33" s="2"/>
    </x:row>
    <x:row r="34" ht="27" customHeight="1">
      <x:c r="A34" s="2"/>
      <x:c r="B34" s="2"/>
      <x:c r="C34" s="2"/>
      <x:c r="D34" s="2"/>
    </x:row>
    <x:row r="35" ht="27" customHeight="1">
      <x:c r="A35" s="2"/>
      <x:c r="B35" s="2"/>
      <x:c r="C35" s="2"/>
      <x:c r="D35" s="2"/>
    </x:row>
    <x:row r="36" ht="42" customHeight="1">
      <x:c r="A36" s="6" t="str">
        <x:v>Кэш и стоимость токенов не равны всей себестоимости. CAC не уменьшается на прибыль пилота; пилот и подключение отражены в плане отдельными потоками.</x:v>
      </x:c>
      <x:c r="B36" s="6"/>
      <x:c r="C36" s="6"/>
      <x:c r="D36" s="6"/>
    </x:row>
    <x:row r="37" ht="27" customHeight="1">
      <x:c r="A37" s="2"/>
      <x:c r="B37" s="2"/>
      <x:c r="C37" s="2"/>
      <x:c r="D37" s="2"/>
    </x:row>
    <x:row r="38" ht="27" customHeight="1">
      <x:c r="A38" s="2"/>
      <x:c r="B38" s="2"/>
      <x:c r="C38" s="2"/>
      <x:c r="D38" s="2"/>
    </x:row>
    <x:row r="39" ht="27" customHeight="1">
      <x:c r="A39" s="2"/>
      <x:c r="B39" s="2"/>
      <x:c r="C39" s="2"/>
      <x:c r="D39" s="2"/>
    </x:row>
  </x:sheetData>
  <x:mergeCells>
    <x:mergeCell ref="A1:D2"/>
    <x:mergeCell ref="A4:D4"/>
    <x:mergeCell ref="A36:D3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5" customHeight="1">
      <x:c r="A1" s="4" t="str">
        <x:v>План · 24 месяца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8" customHeight="1">
      <x:c r="A4" s="6" t="str">
        <x:v>Ожидаемые значения, не фактические клиенты. Новый договор приносит полный MRR в месяце активации; расчёты до налогов.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5" customHeight="1">
      <x:c r="A6" s="9" t="str">
        <x:v>M</x:v>
      </x:c>
      <x:c r="B6" s="9" t="str">
        <x:v>Месяц</x:v>
      </x:c>
      <x:c r="C6" s="9" t="str">
        <x:v>Квалиф. лиды</x:v>
      </x:c>
      <x:c r="D6" s="9" t="str">
        <x:v>Пилоты</x:v>
      </x:c>
      <x:c r="E6" s="9" t="str">
        <x:v>Новые договоры</x:v>
      </x:c>
      <x:c r="F6" s="9" t="str">
        <x:v>База на начало</x:v>
      </x:c>
      <x:c r="G6" s="9" t="str">
        <x:v>Отток</x:v>
      </x:c>
      <x:c r="H6" s="9" t="str">
        <x:v>База на конец</x:v>
      </x:c>
      <x:c r="I6" s="9" t="str">
        <x:v>ARPA, ₽</x:v>
      </x:c>
      <x:c r="J6" s="9" t="str">
        <x:v>MRR, ₽</x:v>
      </x:c>
      <x:c r="K6" s="9" t="str">
        <x:v>Пилоты, ₽</x:v>
      </x:c>
      <x:c r="L6" s="9" t="str">
        <x:v>Подключения, ₽</x:v>
      </x:c>
      <x:c r="M6" s="9" t="str">
        <x:v>Выручка, ₽</x:v>
      </x:c>
      <x:c r="N6" s="9" t="str">
        <x:v>COGS подписки</x:v>
      </x:c>
      <x:c r="O6" s="9" t="str">
        <x:v>COGS пилотов</x:v>
      </x:c>
      <x:c r="P6" s="9" t="str">
        <x:v>COGS подключения</x:v>
      </x:c>
      <x:c r="Q6" s="9" t="str">
        <x:v>Валовой вклад</x:v>
      </x:c>
      <x:c r="R6" s="9" t="str">
        <x:v>Продажи / CAC</x:v>
      </x:c>
      <x:c r="S6" s="9" t="str">
        <x:v>Fixed OPEX</x:v>
      </x:c>
      <x:c r="T6" s="9" t="str">
        <x:v>Опер. результат</x:v>
      </x:c>
      <x:c r="U6" s="9" t="str">
        <x:v>Поступления</x:v>
      </x:c>
      <x:c r="V6" s="9" t="str">
        <x:v>Денежные расходы</x:v>
      </x:c>
      <x:c r="W6" s="9" t="str">
        <x:v>Разовый запуск</x:v>
      </x:c>
      <x:c r="X6" s="9" t="str">
        <x:v>Чистый ДП</x:v>
      </x:c>
      <x:c r="Y6" s="9" t="str">
        <x:v>Деньги на конец</x:v>
      </x:c>
      <x:c r="Z6" s="9" t="str">
        <x:v>Доп. финансир.</x:v>
      </x:c>
    </x:row>
    <x:row r="7" ht="27" customHeight="1">
      <x:c r="A7" s="32" t="n">
        <x:v>1</x:v>
      </x:c>
      <x:c r="B7" s="33" t="n">
        <x:v>46296</x:v>
      </x:c>
      <x:c r="C7" s="35" t="n">
        <x:f>'Допущения'!$E$28+(A7-1)*'Допущения'!$E$29</x:f>
        <x:v>6</x:v>
      </x:c>
      <x:c r="D7" s="35" t="n">
        <x:f>C7*'Допущения'!$E$30</x:f>
        <x:v>1.7999999999999998</x:v>
      </x:c>
      <x:c r="E7" s="35" t="n">
        <x:f>IF(A7&gt;'Допущения'!$E$32,INDEX($D$7:$D$30,A7-'Допущения'!$E$32)*'Допущения'!$E$31,0)</x:f>
        <x:v>0</x:v>
      </x:c>
      <x:c r="F7" s="35" t="n">
        <x:f>0</x:f>
        <x:v>0</x:v>
      </x:c>
      <x:c r="G7" s="35" t="n">
        <x:f>F7*'Допущения'!$E$26</x:f>
        <x:v>0</x:v>
      </x:c>
      <x:c r="H7" s="35" t="n">
        <x:f>F7-G7+E7</x:f>
        <x:v>0</x:v>
      </x:c>
      <x:c r="I7" s="11" t="n">
        <x:f>'Допущения'!$E$7</x:f>
        <x:v>49000</x:v>
      </x:c>
      <x:c r="J7" s="11" t="n">
        <x:f>H7*I7</x:f>
        <x:v>0</x:v>
      </x:c>
      <x:c r="K7" s="11" t="n">
        <x:f>D7*'Допущения'!$E$8</x:f>
        <x:v>80999.99999999999</x:v>
      </x:c>
      <x:c r="L7" s="11" t="n">
        <x:f>E7*'Допущения'!$E$9</x:f>
        <x:v>0</x:v>
      </x:c>
      <x:c r="M7" s="11" t="n">
        <x:f>SUM(J7:L7)</x:f>
        <x:v>80999.99999999999</x:v>
      </x:c>
      <x:c r="N7" s="11" t="n">
        <x:f>H7*'Unit-экономика'!$B$15</x:f>
        <x:v>0</x:v>
      </x:c>
      <x:c r="O7" s="11" t="n">
        <x:f>D7*'Допущения'!$E$34*'Допущения'!$E$22</x:f>
        <x:v>32399.999999999996</x:v>
      </x:c>
      <x:c r="P7" s="11" t="n">
        <x:f>E7*'Допущения'!$E$35*'Допущения'!$E$22</x:f>
        <x:v>0</x:v>
      </x:c>
      <x:c r="Q7" s="11" t="n">
        <x:f>M7-SUM(N7:P7)</x:f>
        <x:v>48599.999999999985</x:v>
      </x:c>
      <x:c r="R7" s="11" t="n">
        <x:f>C7*'Допущения'!$E$33</x:f>
        <x:v>108000</x:v>
      </x:c>
      <x:c r="S7" s="11" t="n">
        <x:f>'Unit-экономика'!$B$23</x:f>
        <x:v>385000</x:v>
      </x:c>
      <x:c r="T7" s="11" t="n">
        <x:f>Q7-R7-S7</x:f>
        <x:v>-444400</x:v>
      </x:c>
      <x:c r="U7" s="11" t="n">
        <x:f>IF(A7&gt;'Допущения'!$E$42,INDEX($M$7:$M$30,A7-'Допущения'!$E$42),0)</x:f>
        <x:v>0</x:v>
      </x:c>
      <x:c r="V7" s="11" t="n">
        <x:f>SUM(N7:P7)+R7+S7</x:f>
        <x:v>525400</x:v>
      </x:c>
      <x:c r="W7" s="11" t="n">
        <x:f>IF(A7=1,'Допущения'!$E$41,0)</x:f>
        <x:v>250000</x:v>
      </x:c>
      <x:c r="X7" s="11" t="n">
        <x:f>U7-V7-W7</x:f>
        <x:v>-775400</x:v>
      </x:c>
      <x:c r="Y7" s="11" t="n">
        <x:f>'Допущения'!$E$40+X7</x:f>
        <x:v>1224600</x:v>
      </x:c>
      <x:c r="Z7" s="11" t="n">
        <x:f>MAX(0,-MIN($Y$7:Y7))</x:f>
        <x:v>0</x:v>
      </x:c>
    </x:row>
    <x:row r="8" ht="27" customHeight="1">
      <x:c r="A8" s="36" t="n">
        <x:v>2</x:v>
      </x:c>
      <x:c r="B8" s="37" t="n">
        <x:v>46327</x:v>
      </x:c>
      <x:c r="C8" s="38" t="n">
        <x:f>'Допущения'!$E$28+(A8-1)*'Допущения'!$E$29</x:f>
        <x:v>7</x:v>
      </x:c>
      <x:c r="D8" s="38" t="n">
        <x:f>C8*'Допущения'!$E$30</x:f>
        <x:v>2.1</x:v>
      </x:c>
      <x:c r="E8" s="38" t="n">
        <x:f>IF(A8&gt;'Допущения'!$E$32,INDEX($D$7:$D$30,A8-'Допущения'!$E$32)*'Допущения'!$E$31,0)</x:f>
        <x:v>0</x:v>
      </x:c>
      <x:c r="F8" s="38" t="n">
        <x:f>H7</x:f>
        <x:v>0</x:v>
      </x:c>
      <x:c r="G8" s="38" t="n">
        <x:f>F8*'Допущения'!$E$26</x:f>
        <x:v>0</x:v>
      </x:c>
      <x:c r="H8" s="38" t="n">
        <x:f>F8-G8+E8</x:f>
        <x:v>0</x:v>
      </x:c>
      <x:c r="I8" s="39" t="n">
        <x:f>'Допущения'!$E$7</x:f>
        <x:v>49000</x:v>
      </x:c>
      <x:c r="J8" s="39" t="n">
        <x:f>H8*I8</x:f>
        <x:v>0</x:v>
      </x:c>
      <x:c r="K8" s="39" t="n">
        <x:f>D8*'Допущения'!$E$8</x:f>
        <x:v>94500</x:v>
      </x:c>
      <x:c r="L8" s="39" t="n">
        <x:f>E8*'Допущения'!$E$9</x:f>
        <x:v>0</x:v>
      </x:c>
      <x:c r="M8" s="39" t="n">
        <x:f>SUM(J8:L8)</x:f>
        <x:v>94500</x:v>
      </x:c>
      <x:c r="N8" s="39" t="n">
        <x:f>H8*'Unit-экономика'!$B$15</x:f>
        <x:v>0</x:v>
      </x:c>
      <x:c r="O8" s="39" t="n">
        <x:f>D8*'Допущения'!$E$34*'Допущения'!$E$22</x:f>
        <x:v>37800.00000000001</x:v>
      </x:c>
      <x:c r="P8" s="39" t="n">
        <x:f>E8*'Допущения'!$E$35*'Допущения'!$E$22</x:f>
        <x:v>0</x:v>
      </x:c>
      <x:c r="Q8" s="39" t="n">
        <x:f>M8-SUM(N8:P8)</x:f>
        <x:v>56699.99999999999</x:v>
      </x:c>
      <x:c r="R8" s="39" t="n">
        <x:f>C8*'Допущения'!$E$33</x:f>
        <x:v>126000</x:v>
      </x:c>
      <x:c r="S8" s="39" t="n">
        <x:f>'Unit-экономика'!$B$23</x:f>
        <x:v>385000</x:v>
      </x:c>
      <x:c r="T8" s="39" t="n">
        <x:f>Q8-R8-S8</x:f>
        <x:v>-454300</x:v>
      </x:c>
      <x:c r="U8" s="39" t="n">
        <x:f>IF(A8&gt;'Допущения'!$E$42,INDEX($M$7:$M$30,A8-'Допущения'!$E$42),0)</x:f>
        <x:v>80999.99999999999</x:v>
      </x:c>
      <x:c r="V8" s="39" t="n">
        <x:f>SUM(N8:P8)+R8+S8</x:f>
        <x:v>548800</x:v>
      </x:c>
      <x:c r="W8" s="39" t="n">
        <x:f>IF(A8=1,'Допущения'!$E$41,0)</x:f>
        <x:v>0</x:v>
      </x:c>
      <x:c r="X8" s="39" t="n">
        <x:f>U8-V8-W8</x:f>
        <x:v>-467800</x:v>
      </x:c>
      <x:c r="Y8" s="39" t="n">
        <x:f>Y7+X8</x:f>
        <x:v>756800</x:v>
      </x:c>
      <x:c r="Z8" s="39" t="n">
        <x:f>MAX(0,-MIN($Y$7:Y8))</x:f>
        <x:v>0</x:v>
      </x:c>
    </x:row>
    <x:row r="9" ht="27" customHeight="1">
      <x:c r="A9" s="32" t="n">
        <x:v>3</x:v>
      </x:c>
      <x:c r="B9" s="33" t="n">
        <x:v>46357</x:v>
      </x:c>
      <x:c r="C9" s="35" t="n">
        <x:f>'Допущения'!$E$28+(A9-1)*'Допущения'!$E$29</x:f>
        <x:v>8</x:v>
      </x:c>
      <x:c r="D9" s="35" t="n">
        <x:f>C9*'Допущения'!$E$30</x:f>
        <x:v>2.4</x:v>
      </x:c>
      <x:c r="E9" s="35" t="n">
        <x:f>IF(A9&gt;'Допущения'!$E$32,INDEX($D$7:$D$30,A9-'Допущения'!$E$32)*'Допущения'!$E$31,0)</x:f>
        <x:v>0.8999999999999999</x:v>
      </x:c>
      <x:c r="F9" s="35" t="n">
        <x:f>H8</x:f>
        <x:v>0</x:v>
      </x:c>
      <x:c r="G9" s="35" t="n">
        <x:f>F9*'Допущения'!$E$26</x:f>
        <x:v>0</x:v>
      </x:c>
      <x:c r="H9" s="35" t="n">
        <x:f>F9-G9+E9</x:f>
        <x:v>0.8999999999999999</x:v>
      </x:c>
      <x:c r="I9" s="11" t="n">
        <x:f>'Допущения'!$E$7</x:f>
        <x:v>49000</x:v>
      </x:c>
      <x:c r="J9" s="11" t="n">
        <x:f>H9*I9</x:f>
        <x:v>44099.99999999999</x:v>
      </x:c>
      <x:c r="K9" s="11" t="n">
        <x:f>D9*'Допущения'!$E$8</x:f>
        <x:v>108000</x:v>
      </x:c>
      <x:c r="L9" s="11" t="n">
        <x:f>E9*'Допущения'!$E$9</x:f>
        <x:v>26999.999999999996</x:v>
      </x:c>
      <x:c r="M9" s="11" t="n">
        <x:f>SUM(J9:L9)</x:f>
        <x:v>179100</x:v>
      </x:c>
      <x:c r="N9" s="11" t="n">
        <x:f>H9*'Unit-экономика'!$B$15</x:f>
        <x:v>10464.214162499999</x:v>
      </x:c>
      <x:c r="O9" s="11" t="n">
        <x:f>D9*'Допущения'!$E$34*'Допущения'!$E$22</x:f>
        <x:v>43199.99999999999</x:v>
      </x:c>
      <x:c r="P9" s="11" t="n">
        <x:f>E9*'Допущения'!$E$35*'Допущения'!$E$22</x:f>
        <x:v>10799.999999999998</x:v>
      </x:c>
      <x:c r="Q9" s="11" t="n">
        <x:f>M9-SUM(N9:P9)</x:f>
        <x:v>114635.7858375</x:v>
      </x:c>
      <x:c r="R9" s="11" t="n">
        <x:f>C9*'Допущения'!$E$33</x:f>
        <x:v>144000</x:v>
      </x:c>
      <x:c r="S9" s="11" t="n">
        <x:f>'Unit-экономика'!$B$23</x:f>
        <x:v>385000</x:v>
      </x:c>
      <x:c r="T9" s="11" t="n">
        <x:f>Q9-R9-S9</x:f>
        <x:v>-414364.2141625</x:v>
      </x:c>
      <x:c r="U9" s="11" t="n">
        <x:f>IF(A9&gt;'Допущения'!$E$42,INDEX($M$7:$M$30,A9-'Допущения'!$E$42),0)</x:f>
        <x:v>94500</x:v>
      </x:c>
      <x:c r="V9" s="11" t="n">
        <x:f>SUM(N9:P9)+R9+S9</x:f>
        <x:v>593464.2141625</x:v>
      </x:c>
      <x:c r="W9" s="11" t="n">
        <x:f>IF(A9=1,'Допущения'!$E$41,0)</x:f>
        <x:v>0</x:v>
      </x:c>
      <x:c r="X9" s="11" t="n">
        <x:f>U9-V9-W9</x:f>
        <x:v>-498964.2141625</x:v>
      </x:c>
      <x:c r="Y9" s="11" t="n">
        <x:f>Y8+X9</x:f>
        <x:v>257835.7858375</x:v>
      </x:c>
      <x:c r="Z9" s="11" t="n">
        <x:f>MAX(0,-MIN($Y$7:Y9))</x:f>
        <x:v>0</x:v>
      </x:c>
    </x:row>
    <x:row r="10" ht="27" customHeight="1">
      <x:c r="A10" s="36" t="n">
        <x:v>4</x:v>
      </x:c>
      <x:c r="B10" s="37" t="n">
        <x:v>46388</x:v>
      </x:c>
      <x:c r="C10" s="38" t="n">
        <x:f>'Допущения'!$E$28+(A10-1)*'Допущения'!$E$29</x:f>
        <x:v>9</x:v>
      </x:c>
      <x:c r="D10" s="38" t="n">
        <x:f>C10*'Допущения'!$E$30</x:f>
        <x:v>2.6999999999999997</x:v>
      </x:c>
      <x:c r="E10" s="38" t="n">
        <x:f>IF(A10&gt;'Допущения'!$E$32,INDEX($D$7:$D$30,A10-'Допущения'!$E$32)*'Допущения'!$E$31,0)</x:f>
        <x:v>1.05</x:v>
      </x:c>
      <x:c r="F10" s="38" t="n">
        <x:f>H9</x:f>
        <x:v>0.8999999999999999</x:v>
      </x:c>
      <x:c r="G10" s="38" t="n">
        <x:f>F10*'Допущения'!$E$26</x:f>
        <x:v>0.013499999999999998</x:v>
      </x:c>
      <x:c r="H10" s="38" t="n">
        <x:f>F10-G10+E10</x:f>
        <x:v>1.9365</x:v>
      </x:c>
      <x:c r="I10" s="39" t="n">
        <x:f>'Допущения'!$E$7</x:f>
        <x:v>49000</x:v>
      </x:c>
      <x:c r="J10" s="39" t="n">
        <x:f>H10*I10</x:f>
        <x:v>94888.5</x:v>
      </x:c>
      <x:c r="K10" s="39" t="n">
        <x:f>D10*'Допущения'!$E$8</x:f>
        <x:v>121499.99999999999</x:v>
      </x:c>
      <x:c r="L10" s="39" t="n">
        <x:f>E10*'Допущения'!$E$9</x:f>
        <x:v>31500</x:v>
      </x:c>
      <x:c r="M10" s="39" t="n">
        <x:f>SUM(J10:L10)</x:f>
        <x:v>247888.5</x:v>
      </x:c>
      <x:c r="N10" s="39" t="n">
        <x:f>H10*'Unit-экономика'!$B$15</x:f>
        <x:v>22515.5008063125</x:v>
      </x:c>
      <x:c r="O10" s="39" t="n">
        <x:f>D10*'Допущения'!$E$34*'Допущения'!$E$22</x:f>
        <x:v>48600</x:v>
      </x:c>
      <x:c r="P10" s="39" t="n">
        <x:f>E10*'Допущения'!$E$35*'Допущения'!$E$22</x:f>
        <x:v>12600</x:v>
      </x:c>
      <x:c r="Q10" s="39" t="n">
        <x:f>M10-SUM(N10:P10)</x:f>
        <x:v>164172.99919368752</x:v>
      </x:c>
      <x:c r="R10" s="39" t="n">
        <x:f>C10*'Допущения'!$E$33</x:f>
        <x:v>162000</x:v>
      </x:c>
      <x:c r="S10" s="39" t="n">
        <x:f>'Unit-экономика'!$B$23</x:f>
        <x:v>385000</x:v>
      </x:c>
      <x:c r="T10" s="39" t="n">
        <x:f>Q10-R10-S10</x:f>
        <x:v>-382827.0008063125</x:v>
      </x:c>
      <x:c r="U10" s="39" t="n">
        <x:f>IF(A10&gt;'Допущения'!$E$42,INDEX($M$7:$M$30,A10-'Допущения'!$E$42),0)</x:f>
        <x:v>179100</x:v>
      </x:c>
      <x:c r="V10" s="39" t="n">
        <x:f>SUM(N10:P10)+R10+S10</x:f>
        <x:v>630715.5008063125</x:v>
      </x:c>
      <x:c r="W10" s="39" t="n">
        <x:f>IF(A10=1,'Допущения'!$E$41,0)</x:f>
        <x:v>0</x:v>
      </x:c>
      <x:c r="X10" s="39" t="n">
        <x:f>U10-V10-W10</x:f>
        <x:v>-451615.50080631254</x:v>
      </x:c>
      <x:c r="Y10" s="39" t="n">
        <x:f>Y9+X10</x:f>
        <x:v>-193779.71496881254</x:v>
      </x:c>
      <x:c r="Z10" s="39" t="n">
        <x:f>MAX(0,-MIN($Y$7:Y10))</x:f>
        <x:v>193779.71496881254</x:v>
      </x:c>
    </x:row>
    <x:row r="11" ht="27" customHeight="1">
      <x:c r="A11" s="32" t="n">
        <x:v>5</x:v>
      </x:c>
      <x:c r="B11" s="33" t="n">
        <x:v>46419</x:v>
      </x:c>
      <x:c r="C11" s="35" t="n">
        <x:f>'Допущения'!$E$28+(A11-1)*'Допущения'!$E$29</x:f>
        <x:v>10</x:v>
      </x:c>
      <x:c r="D11" s="35" t="n">
        <x:f>C11*'Допущения'!$E$30</x:f>
        <x:v>3</x:v>
      </x:c>
      <x:c r="E11" s="35" t="n">
        <x:f>IF(A11&gt;'Допущения'!$E$32,INDEX($D$7:$D$30,A11-'Допущения'!$E$32)*'Допущения'!$E$31,0)</x:f>
        <x:v>1.2</x:v>
      </x:c>
      <x:c r="F11" s="35" t="n">
        <x:f>H10</x:f>
        <x:v>1.9365</x:v>
      </x:c>
      <x:c r="G11" s="35" t="n">
        <x:f>F11*'Допущения'!$E$26</x:f>
        <x:v>0.0290475</x:v>
      </x:c>
      <x:c r="H11" s="35" t="n">
        <x:f>F11-G11+E11</x:f>
        <x:v>3.1074525</x:v>
      </x:c>
      <x:c r="I11" s="11" t="n">
        <x:f>'Допущения'!$E$7</x:f>
        <x:v>49000</x:v>
      </x:c>
      <x:c r="J11" s="11" t="n">
        <x:f>H11*I11</x:f>
        <x:v>152265.1725</x:v>
      </x:c>
      <x:c r="K11" s="11" t="n">
        <x:f>D11*'Допущения'!$E$8</x:f>
        <x:v>135000</x:v>
      </x:c>
      <x:c r="L11" s="11" t="n">
        <x:f>E11*'Допущения'!$E$9</x:f>
        <x:v>36000</x:v>
      </x:c>
      <x:c r="M11" s="11" t="n">
        <x:f>SUM(J11:L11)</x:f>
        <x:v>323265.1725</x:v>
      </x:c>
      <x:c r="N11" s="11" t="n">
        <x:f>H11*'Unit-экономика'!$B$15</x:f>
        <x:v>36130.05384421781</x:v>
      </x:c>
      <x:c r="O11" s="11" t="n">
        <x:f>D11*'Допущения'!$E$34*'Допущения'!$E$22</x:f>
        <x:v>54000</x:v>
      </x:c>
      <x:c r="P11" s="11" t="n">
        <x:f>E11*'Допущения'!$E$35*'Допущения'!$E$22</x:f>
        <x:v>14400</x:v>
      </x:c>
      <x:c r="Q11" s="11" t="n">
        <x:f>M11-SUM(N11:P11)</x:f>
        <x:v>218735.1186557822</x:v>
      </x:c>
      <x:c r="R11" s="11" t="n">
        <x:f>C11*'Допущения'!$E$33</x:f>
        <x:v>180000</x:v>
      </x:c>
      <x:c r="S11" s="11" t="n">
        <x:f>'Unit-экономика'!$B$23</x:f>
        <x:v>385000</x:v>
      </x:c>
      <x:c r="T11" s="11" t="n">
        <x:f>Q11-R11-S11</x:f>
        <x:v>-346264.8813442178</x:v>
      </x:c>
      <x:c r="U11" s="11" t="n">
        <x:f>IF(A11&gt;'Допущения'!$E$42,INDEX($M$7:$M$30,A11-'Допущения'!$E$42),0)</x:f>
        <x:v>247888.5</x:v>
      </x:c>
      <x:c r="V11" s="11" t="n">
        <x:f>SUM(N11:P11)+R11+S11</x:f>
        <x:v>669530.0538442178</x:v>
      </x:c>
      <x:c r="W11" s="11" t="n">
        <x:f>IF(A11=1,'Допущения'!$E$41,0)</x:f>
        <x:v>0</x:v>
      </x:c>
      <x:c r="X11" s="11" t="n">
        <x:f>U11-V11-W11</x:f>
        <x:v>-421641.5538442178</x:v>
      </x:c>
      <x:c r="Y11" s="11" t="n">
        <x:f>Y10+X11</x:f>
        <x:v>-615421.2688130303</x:v>
      </x:c>
      <x:c r="Z11" s="11" t="n">
        <x:f>MAX(0,-MIN($Y$7:Y11))</x:f>
        <x:v>615421.2688130303</x:v>
      </x:c>
    </x:row>
    <x:row r="12" ht="27" customHeight="1">
      <x:c r="A12" s="36" t="n">
        <x:v>6</x:v>
      </x:c>
      <x:c r="B12" s="37" t="n">
        <x:v>46447</x:v>
      </x:c>
      <x:c r="C12" s="38" t="n">
        <x:f>'Допущения'!$E$28+(A12-1)*'Допущения'!$E$29</x:f>
        <x:v>11</x:v>
      </x:c>
      <x:c r="D12" s="38" t="n">
        <x:f>C12*'Допущения'!$E$30</x:f>
        <x:v>3.3</x:v>
      </x:c>
      <x:c r="E12" s="38" t="n">
        <x:f>IF(A12&gt;'Допущения'!$E$32,INDEX($D$7:$D$30,A12-'Допущения'!$E$32)*'Допущения'!$E$31,0)</x:f>
        <x:v>1.3499999999999999</x:v>
      </x:c>
      <x:c r="F12" s="38" t="n">
        <x:f>H11</x:f>
        <x:v>3.1074525</x:v>
      </x:c>
      <x:c r="G12" s="38" t="n">
        <x:f>F12*'Допущения'!$E$26</x:f>
        <x:v>0.046611787499999995</x:v>
      </x:c>
      <x:c r="H12" s="38" t="n">
        <x:f>F12-G12+E12</x:f>
        <x:v>4.4108407125</x:v>
      </x:c>
      <x:c r="I12" s="39" t="n">
        <x:f>'Допущения'!$E$7</x:f>
        <x:v>49000</x:v>
      </x:c>
      <x:c r="J12" s="39" t="n">
        <x:f>H12*I12</x:f>
        <x:v>216131.19491249998</x:v>
      </x:c>
      <x:c r="K12" s="39" t="n">
        <x:f>D12*'Допущения'!$E$8</x:f>
        <x:v>148500</x:v>
      </x:c>
      <x:c r="L12" s="39" t="n">
        <x:f>E12*'Допущения'!$E$9</x:f>
        <x:v>40499.99999999999</x:v>
      </x:c>
      <x:c r="M12" s="39" t="n">
        <x:f>SUM(J12:L12)</x:f>
        <x:v>405131.1949125</x:v>
      </x:c>
      <x:c r="N12" s="39" t="n">
        <x:f>H12*'Unit-экономика'!$B$15</x:f>
        <x:v>51284.42428030454</x:v>
      </x:c>
      <x:c r="O12" s="39" t="n">
        <x:f>D12*'Допущения'!$E$34*'Допущения'!$E$22</x:f>
        <x:v>59399.99999999999</x:v>
      </x:c>
      <x:c r="P12" s="39" t="n">
        <x:f>E12*'Допущения'!$E$35*'Допущения'!$E$22</x:f>
        <x:v>16199.999999999998</x:v>
      </x:c>
      <x:c r="Q12" s="39" t="n">
        <x:f>M12-SUM(N12:P12)</x:f>
        <x:v>278246.77063219546</x:v>
      </x:c>
      <x:c r="R12" s="39" t="n">
        <x:f>C12*'Допущения'!$E$33</x:f>
        <x:v>198000</x:v>
      </x:c>
      <x:c r="S12" s="39" t="n">
        <x:f>'Unit-экономика'!$B$23</x:f>
        <x:v>385000</x:v>
      </x:c>
      <x:c r="T12" s="39" t="n">
        <x:f>Q12-R12-S12</x:f>
        <x:v>-304753.22936780454</x:v>
      </x:c>
      <x:c r="U12" s="39" t="n">
        <x:f>IF(A12&gt;'Допущения'!$E$42,INDEX($M$7:$M$30,A12-'Допущения'!$E$42),0)</x:f>
        <x:v>323265.1725</x:v>
      </x:c>
      <x:c r="V12" s="39" t="n">
        <x:f>SUM(N12:P12)+R12+S12</x:f>
        <x:v>709884.4242803045</x:v>
      </x:c>
      <x:c r="W12" s="39" t="n">
        <x:f>IF(A12=1,'Допущения'!$E$41,0)</x:f>
        <x:v>0</x:v>
      </x:c>
      <x:c r="X12" s="39" t="n">
        <x:f>U12-V12-W12</x:f>
        <x:v>-386619.2517803045</x:v>
      </x:c>
      <x:c r="Y12" s="39" t="n">
        <x:f>Y11+X12</x:f>
        <x:v>-1002040.5205933348</x:v>
      </x:c>
      <x:c r="Z12" s="39" t="n">
        <x:f>MAX(0,-MIN($Y$7:Y12))</x:f>
        <x:v>1002040.5205933348</x:v>
      </x:c>
    </x:row>
    <x:row r="13" ht="27" customHeight="1">
      <x:c r="A13" s="32" t="n">
        <x:v>7</x:v>
      </x:c>
      <x:c r="B13" s="33" t="n">
        <x:v>46478</x:v>
      </x:c>
      <x:c r="C13" s="35" t="n">
        <x:f>'Допущения'!$E$28+(A13-1)*'Допущения'!$E$29</x:f>
        <x:v>12</x:v>
      </x:c>
      <x:c r="D13" s="35" t="n">
        <x:f>C13*'Допущения'!$E$30</x:f>
        <x:v>3.5999999999999996</x:v>
      </x:c>
      <x:c r="E13" s="35" t="n">
        <x:f>IF(A13&gt;'Допущения'!$E$32,INDEX($D$7:$D$30,A13-'Допущения'!$E$32)*'Допущения'!$E$31,0)</x:f>
        <x:v>1.5</x:v>
      </x:c>
      <x:c r="F13" s="35" t="n">
        <x:f>H12</x:f>
        <x:v>4.4108407125</x:v>
      </x:c>
      <x:c r="G13" s="35" t="n">
        <x:f>F13*'Допущения'!$E$26</x:f>
        <x:v>0.0661626106875</x:v>
      </x:c>
      <x:c r="H13" s="35" t="n">
        <x:f>F13-G13+E13</x:f>
        <x:v>5.8446781018125</x:v>
      </x:c>
      <x:c r="I13" s="11" t="n">
        <x:f>'Допущения'!$E$7</x:f>
        <x:v>49000</x:v>
      </x:c>
      <x:c r="J13" s="11" t="n">
        <x:f>H13*I13</x:f>
        <x:v>286389.2269888125</x:v>
      </x:c>
      <x:c r="K13" s="11" t="n">
        <x:f>D13*'Допущения'!$E$8</x:f>
        <x:v>161999.99999999997</x:v>
      </x:c>
      <x:c r="L13" s="11" t="n">
        <x:f>E13*'Допущения'!$E$9</x:f>
        <x:v>45000</x:v>
      </x:c>
      <x:c r="M13" s="11" t="n">
        <x:f>SUM(J13:L13)</x:f>
        <x:v>493389.22698881244</x:v>
      </x:c>
      <x:c r="N13" s="11" t="n">
        <x:f>H13*'Unit-экономика'!$B$15</x:f>
        <x:v>67955.51485359998</x:v>
      </x:c>
      <x:c r="O13" s="11" t="n">
        <x:f>D13*'Допущения'!$E$34*'Допущения'!$E$22</x:f>
        <x:v>64799.99999999999</x:v>
      </x:c>
      <x:c r="P13" s="11" t="n">
        <x:f>E13*'Допущения'!$E$35*'Допущения'!$E$22</x:f>
        <x:v>18000</x:v>
      </x:c>
      <x:c r="Q13" s="11" t="n">
        <x:f>M13-SUM(N13:P13)</x:f>
        <x:v>342633.7121352125</x:v>
      </x:c>
      <x:c r="R13" s="11" t="n">
        <x:f>C13*'Допущения'!$E$33</x:f>
        <x:v>216000</x:v>
      </x:c>
      <x:c r="S13" s="11" t="n">
        <x:f>'Unit-экономика'!$B$23</x:f>
        <x:v>385000</x:v>
      </x:c>
      <x:c r="T13" s="11" t="n">
        <x:f>Q13-R13-S13</x:f>
        <x:v>-258366.2878647875</x:v>
      </x:c>
      <x:c r="U13" s="11" t="n">
        <x:f>IF(A13&gt;'Допущения'!$E$42,INDEX($M$7:$M$30,A13-'Допущения'!$E$42),0)</x:f>
        <x:v>405131.1949125</x:v>
      </x:c>
      <x:c r="V13" s="11" t="n">
        <x:f>SUM(N13:P13)+R13+S13</x:f>
        <x:v>751755.5148536</x:v>
      </x:c>
      <x:c r="W13" s="11" t="n">
        <x:f>IF(A13=1,'Допущения'!$E$41,0)</x:f>
        <x:v>0</x:v>
      </x:c>
      <x:c r="X13" s="11" t="n">
        <x:f>U13-V13-W13</x:f>
        <x:v>-346624.31994109997</x:v>
      </x:c>
      <x:c r="Y13" s="11" t="n">
        <x:f>Y12+X13</x:f>
        <x:v>-1348664.8405344347</x:v>
      </x:c>
      <x:c r="Z13" s="11" t="n">
        <x:f>MAX(0,-MIN($Y$7:Y13))</x:f>
        <x:v>1348664.8405344347</x:v>
      </x:c>
    </x:row>
    <x:row r="14" ht="27" customHeight="1">
      <x:c r="A14" s="36" t="n">
        <x:v>8</x:v>
      </x:c>
      <x:c r="B14" s="37" t="n">
        <x:v>46508</x:v>
      </x:c>
      <x:c r="C14" s="38" t="n">
        <x:f>'Допущения'!$E$28+(A14-1)*'Допущения'!$E$29</x:f>
        <x:v>13</x:v>
      </x:c>
      <x:c r="D14" s="38" t="n">
        <x:f>C14*'Допущения'!$E$30</x:f>
        <x:v>3.9</x:v>
      </x:c>
      <x:c r="E14" s="38" t="n">
        <x:f>IF(A14&gt;'Допущения'!$E$32,INDEX($D$7:$D$30,A14-'Допущения'!$E$32)*'Допущения'!$E$31,0)</x:f>
        <x:v>1.65</x:v>
      </x:c>
      <x:c r="F14" s="38" t="n">
        <x:f>H13</x:f>
        <x:v>5.8446781018125</x:v>
      </x:c>
      <x:c r="G14" s="38" t="n">
        <x:f>F14*'Допущения'!$E$26</x:f>
        <x:v>0.0876701715271875</x:v>
      </x:c>
      <x:c r="H14" s="38" t="n">
        <x:f>F14-G14+E14</x:f>
        <x:v>7.407007930285312</x:v>
      </x:c>
      <x:c r="I14" s="39" t="n">
        <x:f>'Допущения'!$E$7</x:f>
        <x:v>49000</x:v>
      </x:c>
      <x:c r="J14" s="39" t="n">
        <x:f>H14*I14</x:f>
        <x:v>362943.38858398027</x:v>
      </x:c>
      <x:c r="K14" s="39" t="n">
        <x:f>D14*'Допущения'!$E$8</x:f>
        <x:v>175500</x:v>
      </x:c>
      <x:c r="L14" s="39" t="n">
        <x:f>E14*'Допущения'!$E$9</x:f>
        <x:v>49500</x:v>
      </x:c>
      <x:c r="M14" s="39" t="n">
        <x:f>SUM(J14:L14)</x:f>
        <x:v>587943.3885839803</x:v>
      </x:c>
      <x:c r="N14" s="39" t="n">
        <x:f>H14*'Unit-экономика'!$B$15</x:f>
        <x:v>86120.57476204596</x:v>
      </x:c>
      <x:c r="O14" s="39" t="n">
        <x:f>D14*'Допущения'!$E$34*'Допущения'!$E$22</x:f>
        <x:v>70200</x:v>
      </x:c>
      <x:c r="P14" s="39" t="n">
        <x:f>E14*'Допущения'!$E$35*'Допущения'!$E$22</x:f>
        <x:v>19800</x:v>
      </x:c>
      <x:c r="Q14" s="39" t="n">
        <x:f>M14-SUM(N14:P14)</x:f>
        <x:v>411822.8138219343</x:v>
      </x:c>
      <x:c r="R14" s="39" t="n">
        <x:f>C14*'Допущения'!$E$33</x:f>
        <x:v>234000</x:v>
      </x:c>
      <x:c r="S14" s="39" t="n">
        <x:f>'Unit-экономика'!$B$23</x:f>
        <x:v>385000</x:v>
      </x:c>
      <x:c r="T14" s="39" t="n">
        <x:f>Q14-R14-S14</x:f>
        <x:v>-207177.18617806572</x:v>
      </x:c>
      <x:c r="U14" s="39" t="n">
        <x:f>IF(A14&gt;'Допущения'!$E$42,INDEX($M$7:$M$30,A14-'Допущения'!$E$42),0)</x:f>
        <x:v>493389.22698881244</x:v>
      </x:c>
      <x:c r="V14" s="39" t="n">
        <x:f>SUM(N14:P14)+R14+S14</x:f>
        <x:v>795120.574762046</x:v>
      </x:c>
      <x:c r="W14" s="39" t="n">
        <x:f>IF(A14=1,'Допущения'!$E$41,0)</x:f>
        <x:v>0</x:v>
      </x:c>
      <x:c r="X14" s="39" t="n">
        <x:f>U14-V14-W14</x:f>
        <x:v>-301731.34777323355</x:v>
      </x:c>
      <x:c r="Y14" s="39" t="n">
        <x:f>Y13+X14</x:f>
        <x:v>-1650396.188307668</x:v>
      </x:c>
      <x:c r="Z14" s="39" t="n">
        <x:f>MAX(0,-MIN($Y$7:Y14))</x:f>
        <x:v>1650396.188307668</x:v>
      </x:c>
    </x:row>
    <x:row r="15" ht="27" customHeight="1">
      <x:c r="A15" s="32" t="n">
        <x:v>9</x:v>
      </x:c>
      <x:c r="B15" s="33" t="n">
        <x:v>46539</x:v>
      </x:c>
      <x:c r="C15" s="35" t="n">
        <x:f>'Допущения'!$E$28+(A15-1)*'Допущения'!$E$29</x:f>
        <x:v>14</x:v>
      </x:c>
      <x:c r="D15" s="35" t="n">
        <x:f>C15*'Допущения'!$E$30</x:f>
        <x:v>4.2</x:v>
      </x:c>
      <x:c r="E15" s="35" t="n">
        <x:f>IF(A15&gt;'Допущения'!$E$32,INDEX($D$7:$D$30,A15-'Допущения'!$E$32)*'Допущения'!$E$31,0)</x:f>
        <x:v>1.7999999999999998</x:v>
      </x:c>
      <x:c r="F15" s="35" t="n">
        <x:f>H14</x:f>
        <x:v>7.407007930285312</x:v>
      </x:c>
      <x:c r="G15" s="35" t="n">
        <x:f>F15*'Допущения'!$E$26</x:f>
        <x:v>0.11110511895427967</x:v>
      </x:c>
      <x:c r="H15" s="35" t="n">
        <x:f>F15-G15+E15</x:f>
        <x:v>9.095902811331033</x:v>
      </x:c>
      <x:c r="I15" s="11" t="n">
        <x:f>'Допущения'!$E$7</x:f>
        <x:v>49000</x:v>
      </x:c>
      <x:c r="J15" s="11" t="n">
        <x:f>H15*I15</x:f>
        <x:v>445699.2377552206</x:v>
      </x:c>
      <x:c r="K15" s="11" t="n">
        <x:f>D15*'Допущения'!$E$8</x:f>
        <x:v>189000</x:v>
      </x:c>
      <x:c r="L15" s="11" t="n">
        <x:f>E15*'Допущения'!$E$9</x:f>
        <x:v>53999.99999999999</x:v>
      </x:c>
      <x:c r="M15" s="11" t="n">
        <x:f>SUM(J15:L15)</x:f>
        <x:v>688699.2377552206</x:v>
      </x:c>
      <x:c r="N15" s="11" t="n">
        <x:f>H15*'Unit-экономика'!$B$15</x:f>
        <x:v>105757.19446561529</x:v>
      </x:c>
      <x:c r="O15" s="11" t="n">
        <x:f>D15*'Допущения'!$E$34*'Допущения'!$E$22</x:f>
        <x:v>75600.00000000001</x:v>
      </x:c>
      <x:c r="P15" s="11" t="n">
        <x:f>E15*'Допущения'!$E$35*'Допущения'!$E$22</x:f>
        <x:v>21599.999999999996</x:v>
      </x:c>
      <x:c r="Q15" s="11" t="n">
        <x:f>M15-SUM(N15:P15)</x:f>
        <x:v>485742.0432896053</x:v>
      </x:c>
      <x:c r="R15" s="11" t="n">
        <x:f>C15*'Допущения'!$E$33</x:f>
        <x:v>252000</x:v>
      </x:c>
      <x:c r="S15" s="11" t="n">
        <x:f>'Unit-экономика'!$B$23</x:f>
        <x:v>385000</x:v>
      </x:c>
      <x:c r="T15" s="11" t="n">
        <x:f>Q15-R15-S15</x:f>
        <x:v>-151257.9567103947</x:v>
      </x:c>
      <x:c r="U15" s="11" t="n">
        <x:f>IF(A15&gt;'Допущения'!$E$42,INDEX($M$7:$M$30,A15-'Допущения'!$E$42),0)</x:f>
        <x:v>587943.3885839803</x:v>
      </x:c>
      <x:c r="V15" s="11" t="n">
        <x:f>SUM(N15:P15)+R15+S15</x:f>
        <x:v>839957.1944656153</x:v>
      </x:c>
      <x:c r="W15" s="11" t="n">
        <x:f>IF(A15=1,'Допущения'!$E$41,0)</x:f>
        <x:v>0</x:v>
      </x:c>
      <x:c r="X15" s="11" t="n">
        <x:f>U15-V15-W15</x:f>
        <x:v>-252013.80588163505</x:v>
      </x:c>
      <x:c r="Y15" s="11" t="n">
        <x:f>Y14+X15</x:f>
        <x:v>-1902409.9941893031</x:v>
      </x:c>
      <x:c r="Z15" s="11" t="n">
        <x:f>MAX(0,-MIN($Y$7:Y15))</x:f>
        <x:v>1902409.9941893031</x:v>
      </x:c>
    </x:row>
    <x:row r="16" ht="27" customHeight="1">
      <x:c r="A16" s="36" t="n">
        <x:v>10</x:v>
      </x:c>
      <x:c r="B16" s="37" t="n">
        <x:v>46569</x:v>
      </x:c>
      <x:c r="C16" s="38" t="n">
        <x:f>'Допущения'!$E$28+(A16-1)*'Допущения'!$E$29</x:f>
        <x:v>15</x:v>
      </x:c>
      <x:c r="D16" s="38" t="n">
        <x:f>C16*'Допущения'!$E$30</x:f>
        <x:v>4.5</x:v>
      </x:c>
      <x:c r="E16" s="38" t="n">
        <x:f>IF(A16&gt;'Допущения'!$E$32,INDEX($D$7:$D$30,A16-'Допущения'!$E$32)*'Допущения'!$E$31,0)</x:f>
        <x:v>1.95</x:v>
      </x:c>
      <x:c r="F16" s="38" t="n">
        <x:f>H15</x:f>
        <x:v>9.095902811331033</x:v>
      </x:c>
      <x:c r="G16" s="38" t="n">
        <x:f>F16*'Допущения'!$E$26</x:f>
        <x:v>0.13643854216996548</x:v>
      </x:c>
      <x:c r="H16" s="38" t="n">
        <x:f>F16-G16+E16</x:f>
        <x:v>10.909464269161067</x:v>
      </x:c>
      <x:c r="I16" s="39" t="n">
        <x:f>'Допущения'!$E$7</x:f>
        <x:v>49000</x:v>
      </x:c>
      <x:c r="J16" s="39" t="n">
        <x:f>H16*I16</x:f>
        <x:v>534563.7491888923</x:v>
      </x:c>
      <x:c r="K16" s="39" t="n">
        <x:f>D16*'Допущения'!$E$8</x:f>
        <x:v>202500</x:v>
      </x:c>
      <x:c r="L16" s="39" t="n">
        <x:f>E16*'Допущения'!$E$9</x:f>
        <x:v>58500</x:v>
      </x:c>
      <x:c r="M16" s="39" t="n">
        <x:f>SUM(J16:L16)</x:f>
        <x:v>795563.7491888923</x:v>
      </x:c>
      <x:c r="N16" s="39" t="n">
        <x:f>H16*'Unit-экономика'!$B$15</x:f>
        <x:v>126843.30056738104</x:v>
      </x:c>
      <x:c r="O16" s="39" t="n">
        <x:f>D16*'Допущения'!$E$34*'Допущения'!$E$22</x:f>
        <x:v>81000</x:v>
      </x:c>
      <x:c r="P16" s="39" t="n">
        <x:f>E16*'Допущения'!$E$35*'Допущения'!$E$22</x:f>
        <x:v>23400</x:v>
      </x:c>
      <x:c r="Q16" s="39" t="n">
        <x:f>M16-SUM(N16:P16)</x:f>
        <x:v>564320.4486215112</x:v>
      </x:c>
      <x:c r="R16" s="39" t="n">
        <x:f>C16*'Допущения'!$E$33</x:f>
        <x:v>270000</x:v>
      </x:c>
      <x:c r="S16" s="39" t="n">
        <x:f>'Unit-экономика'!$B$23</x:f>
        <x:v>385000</x:v>
      </x:c>
      <x:c r="T16" s="39" t="n">
        <x:f>Q16-R16-S16</x:f>
        <x:v>-90679.55137848877</x:v>
      </x:c>
      <x:c r="U16" s="39" t="n">
        <x:f>IF(A16&gt;'Допущения'!$E$42,INDEX($M$7:$M$30,A16-'Допущения'!$E$42),0)</x:f>
        <x:v>688699.2377552206</x:v>
      </x:c>
      <x:c r="V16" s="39" t="n">
        <x:f>SUM(N16:P16)+R16+S16</x:f>
        <x:v>886243.3005673811</x:v>
      </x:c>
      <x:c r="W16" s="39" t="n">
        <x:f>IF(A16=1,'Допущения'!$E$41,0)</x:f>
        <x:v>0</x:v>
      </x:c>
      <x:c r="X16" s="39" t="n">
        <x:f>U16-V16-W16</x:f>
        <x:v>-197544.06281216047</x:v>
      </x:c>
      <x:c r="Y16" s="39" t="n">
        <x:f>Y15+X16</x:f>
        <x:v>-2099954.0570014636</x:v>
      </x:c>
      <x:c r="Z16" s="39" t="n">
        <x:f>MAX(0,-MIN($Y$7:Y16))</x:f>
        <x:v>2099954.0570014636</x:v>
      </x:c>
    </x:row>
    <x:row r="17" ht="27" customHeight="1">
      <x:c r="A17" s="32" t="n">
        <x:v>11</x:v>
      </x:c>
      <x:c r="B17" s="33" t="n">
        <x:v>46600</x:v>
      </x:c>
      <x:c r="C17" s="35" t="n">
        <x:f>'Допущения'!$E$28+(A17-1)*'Допущения'!$E$29</x:f>
        <x:v>16</x:v>
      </x:c>
      <x:c r="D17" s="35" t="n">
        <x:f>C17*'Допущения'!$E$30</x:f>
        <x:v>4.8</x:v>
      </x:c>
      <x:c r="E17" s="35" t="n">
        <x:f>IF(A17&gt;'Допущения'!$E$32,INDEX($D$7:$D$30,A17-'Допущения'!$E$32)*'Допущения'!$E$31,0)</x:f>
        <x:v>2.1</x:v>
      </x:c>
      <x:c r="F17" s="35" t="n">
        <x:f>H16</x:f>
        <x:v>10.909464269161067</x:v>
      </x:c>
      <x:c r="G17" s="35" t="n">
        <x:f>F17*'Допущения'!$E$26</x:f>
        <x:v>0.163641964037416</x:v>
      </x:c>
      <x:c r="H17" s="35" t="n">
        <x:f>F17-G17+E17</x:f>
        <x:v>12.84582230512365</x:v>
      </x:c>
      <x:c r="I17" s="11" t="n">
        <x:f>'Допущения'!$E$7</x:f>
        <x:v>49000</x:v>
      </x:c>
      <x:c r="J17" s="11" t="n">
        <x:f>H17*I17</x:f>
        <x:v>629445.292951059</x:v>
      </x:c>
      <x:c r="K17" s="11" t="n">
        <x:f>D17*'Допущения'!$E$8</x:f>
        <x:v>216000</x:v>
      </x:c>
      <x:c r="L17" s="11" t="n">
        <x:f>E17*'Допущения'!$E$9</x:f>
        <x:v>63000</x:v>
      </x:c>
      <x:c r="M17" s="11" t="n">
        <x:f>SUM(J17:L17)</x:f>
        <x:v>908445.292951059</x:v>
      </x:c>
      <x:c r="N17" s="11" t="n">
        <x:f>H17*'Unit-экономика'!$B$15</x:f>
        <x:v>149357.15077137033</x:v>
      </x:c>
      <x:c r="O17" s="11" t="n">
        <x:f>D17*'Допущения'!$E$34*'Допущения'!$E$22</x:f>
        <x:v>86399.99999999999</x:v>
      </x:c>
      <x:c r="P17" s="11" t="n">
        <x:f>E17*'Допущения'!$E$35*'Допущения'!$E$22</x:f>
        <x:v>25200</x:v>
      </x:c>
      <x:c r="Q17" s="11" t="n">
        <x:f>M17-SUM(N17:P17)</x:f>
        <x:v>647488.1421796887</x:v>
      </x:c>
      <x:c r="R17" s="11" t="n">
        <x:f>C17*'Допущения'!$E$33</x:f>
        <x:v>288000</x:v>
      </x:c>
      <x:c r="S17" s="11" t="n">
        <x:f>'Unit-экономика'!$B$23</x:f>
        <x:v>385000</x:v>
      </x:c>
      <x:c r="T17" s="11" t="n">
        <x:f>Q17-R17-S17</x:f>
        <x:v>-25511.85782031133</x:v>
      </x:c>
      <x:c r="U17" s="11" t="n">
        <x:f>IF(A17&gt;'Допущения'!$E$42,INDEX($M$7:$M$30,A17-'Допущения'!$E$42),0)</x:f>
        <x:v>795563.7491888923</x:v>
      </x:c>
      <x:c r="V17" s="11" t="n">
        <x:f>SUM(N17:P17)+R17+S17</x:f>
        <x:v>933957.1507713704</x:v>
      </x:c>
      <x:c r="W17" s="11" t="n">
        <x:f>IF(A17=1,'Допущения'!$E$41,0)</x:f>
        <x:v>0</x:v>
      </x:c>
      <x:c r="X17" s="11" t="n">
        <x:f>U17-V17-W17</x:f>
        <x:v>-138393.40158247808</x:v>
      </x:c>
      <x:c r="Y17" s="11" t="n">
        <x:f>Y16+X17</x:f>
        <x:v>-2238347.4585839417</x:v>
      </x:c>
      <x:c r="Z17" s="11" t="n">
        <x:f>MAX(0,-MIN($Y$7:Y17))</x:f>
        <x:v>2238347.4585839417</x:v>
      </x:c>
    </x:row>
    <x:row r="18" ht="27" customHeight="1">
      <x:c r="A18" s="36" t="n">
        <x:v>12</x:v>
      </x:c>
      <x:c r="B18" s="37" t="n">
        <x:v>46631</x:v>
      </x:c>
      <x:c r="C18" s="38" t="n">
        <x:f>'Допущения'!$E$28+(A18-1)*'Допущения'!$E$29</x:f>
        <x:v>17</x:v>
      </x:c>
      <x:c r="D18" s="38" t="n">
        <x:f>C18*'Допущения'!$E$30</x:f>
        <x:v>5.1</x:v>
      </x:c>
      <x:c r="E18" s="38" t="n">
        <x:f>IF(A18&gt;'Допущения'!$E$32,INDEX($D$7:$D$30,A18-'Допущения'!$E$32)*'Допущения'!$E$31,0)</x:f>
        <x:v>2.25</x:v>
      </x:c>
      <x:c r="F18" s="38" t="n">
        <x:f>H17</x:f>
        <x:v>12.84582230512365</x:v>
      </x:c>
      <x:c r="G18" s="38" t="n">
        <x:f>F18*'Допущения'!$E$26</x:f>
        <x:v>0.19268733457685475</x:v>
      </x:c>
      <x:c r="H18" s="38" t="n">
        <x:f>F18-G18+E18</x:f>
        <x:v>14.903134970546796</x:v>
      </x:c>
      <x:c r="I18" s="39" t="n">
        <x:f>'Допущения'!$E$7</x:f>
        <x:v>49000</x:v>
      </x:c>
      <x:c r="J18" s="39" t="n">
        <x:f>H18*I18</x:f>
        <x:v>730253.6135567931</x:v>
      </x:c>
      <x:c r="K18" s="39" t="n">
        <x:f>D18*'Допущения'!$E$8</x:f>
        <x:v>229499.99999999997</x:v>
      </x:c>
      <x:c r="L18" s="39" t="n">
        <x:f>E18*'Допущения'!$E$9</x:f>
        <x:v>67500</x:v>
      </x:c>
      <x:c r="M18" s="39" t="n">
        <x:f>SUM(J18:L18)</x:f>
        <x:v>1027253.6135567931</x:v>
      </x:c>
      <x:c r="N18" s="39" t="n">
        <x:f>H18*'Unit-экономика'!$B$15</x:f>
        <x:v>173277.32891604977</x:v>
      </x:c>
      <x:c r="O18" s="39" t="n">
        <x:f>D18*'Допущения'!$E$34*'Допущения'!$E$22</x:f>
        <x:v>91800</x:v>
      </x:c>
      <x:c r="P18" s="39" t="n">
        <x:f>E18*'Допущения'!$E$35*'Допущения'!$E$22</x:f>
        <x:v>27000</x:v>
      </x:c>
      <x:c r="Q18" s="39" t="n">
        <x:f>M18-SUM(N18:P18)</x:f>
        <x:v>735176.2846407433</x:v>
      </x:c>
      <x:c r="R18" s="39" t="n">
        <x:f>C18*'Допущения'!$E$33</x:f>
        <x:v>306000</x:v>
      </x:c>
      <x:c r="S18" s="39" t="n">
        <x:f>'Unit-экономика'!$B$23</x:f>
        <x:v>385000</x:v>
      </x:c>
      <x:c r="T18" s="39" t="n">
        <x:f>Q18-R18-S18</x:f>
        <x:v>44176.28464074328</x:v>
      </x:c>
      <x:c r="U18" s="39" t="n">
        <x:f>IF(A18&gt;'Допущения'!$E$42,INDEX($M$7:$M$30,A18-'Допущения'!$E$42),0)</x:f>
        <x:v>908445.292951059</x:v>
      </x:c>
      <x:c r="V18" s="39" t="n">
        <x:f>SUM(N18:P18)+R18+S18</x:f>
        <x:v>983077.3289160498</x:v>
      </x:c>
      <x:c r="W18" s="39" t="n">
        <x:f>IF(A18=1,'Допущения'!$E$41,0)</x:f>
        <x:v>0</x:v>
      </x:c>
      <x:c r="X18" s="39" t="n">
        <x:f>U18-V18-W18</x:f>
        <x:v>-74632.03596499085</x:v>
      </x:c>
      <x:c r="Y18" s="39" t="n">
        <x:f>Y17+X18</x:f>
        <x:v>-2312979.4945489326</x:v>
      </x:c>
      <x:c r="Z18" s="39" t="n">
        <x:f>MAX(0,-MIN($Y$7:Y18))</x:f>
        <x:v>2312979.4945489326</x:v>
      </x:c>
    </x:row>
    <x:row r="19" ht="27" customHeight="1">
      <x:c r="A19" s="32" t="n">
        <x:v>13</x:v>
      </x:c>
      <x:c r="B19" s="33" t="n">
        <x:v>46661</x:v>
      </x:c>
      <x:c r="C19" s="35" t="n">
        <x:f>'Допущения'!$E$28+(A19-1)*'Допущения'!$E$29</x:f>
        <x:v>18</x:v>
      </x:c>
      <x:c r="D19" s="35" t="n">
        <x:f>C19*'Допущения'!$E$30</x:f>
        <x:v>5.3999999999999995</x:v>
      </x:c>
      <x:c r="E19" s="35" t="n">
        <x:f>IF(A19&gt;'Допущения'!$E$32,INDEX($D$7:$D$30,A19-'Допущения'!$E$32)*'Допущения'!$E$31,0)</x:f>
        <x:v>2.4</x:v>
      </x:c>
      <x:c r="F19" s="35" t="n">
        <x:f>H18</x:f>
        <x:v>14.903134970546796</x:v>
      </x:c>
      <x:c r="G19" s="35" t="n">
        <x:f>F19*'Допущения'!$E$26</x:f>
        <x:v>0.22354702455820194</x:v>
      </x:c>
      <x:c r="H19" s="35" t="n">
        <x:f>F19-G19+E19</x:f>
        <x:v>17.079587945988592</x:v>
      </x:c>
      <x:c r="I19" s="11" t="n">
        <x:f>'Допущения'!$E$7</x:f>
        <x:v>49000</x:v>
      </x:c>
      <x:c r="J19" s="11" t="n">
        <x:f>H19*I19</x:f>
        <x:v>836899.809353441</x:v>
      </x:c>
      <x:c r="K19" s="11" t="n">
        <x:f>D19*'Допущения'!$E$8</x:f>
        <x:v>242999.99999999997</x:v>
      </x:c>
      <x:c r="L19" s="11" t="n">
        <x:f>E19*'Допущения'!$E$9</x:f>
        <x:v>72000</x:v>
      </x:c>
      <x:c r="M19" s="11" t="n">
        <x:f>SUM(J19:L19)</x:f>
        <x:v>1151899.809353441</x:v>
      </x:c>
      <x:c r="N19" s="11" t="n">
        <x:f>H19*'Unit-экономика'!$B$15</x:f>
        <x:v>198582.740082309</x:v>
      </x:c>
      <x:c r="O19" s="11" t="n">
        <x:f>D19*'Допущения'!$E$34*'Допущения'!$E$22</x:f>
        <x:v>97200</x:v>
      </x:c>
      <x:c r="P19" s="11" t="n">
        <x:f>E19*'Допущения'!$E$35*'Допущения'!$E$22</x:f>
        <x:v>28800</x:v>
      </x:c>
      <x:c r="Q19" s="11" t="n">
        <x:f>M19-SUM(N19:P19)</x:f>
        <x:v>827317.069271132</x:v>
      </x:c>
      <x:c r="R19" s="11" t="n">
        <x:f>C19*'Допущения'!$E$33</x:f>
        <x:v>324000</x:v>
      </x:c>
      <x:c r="S19" s="11" t="n">
        <x:f>'Unit-экономика'!$B$23</x:f>
        <x:v>385000</x:v>
      </x:c>
      <x:c r="T19" s="11" t="n">
        <x:f>Q19-R19-S19</x:f>
        <x:v>118317.069271132</x:v>
      </x:c>
      <x:c r="U19" s="11" t="n">
        <x:f>IF(A19&gt;'Допущения'!$E$42,INDEX($M$7:$M$30,A19-'Допущения'!$E$42),0)</x:f>
        <x:v>1027253.6135567931</x:v>
      </x:c>
      <x:c r="V19" s="11" t="n">
        <x:f>SUM(N19:P19)+R19+S19</x:f>
        <x:v>1033582.740082309</x:v>
      </x:c>
      <x:c r="W19" s="11" t="n">
        <x:f>IF(A19=1,'Допущения'!$E$41,0)</x:f>
        <x:v>0</x:v>
      </x:c>
      <x:c r="X19" s="11" t="n">
        <x:f>U19-V19-W19</x:f>
        <x:v>-6329.126525515923</x:v>
      </x:c>
      <x:c r="Y19" s="11" t="n">
        <x:f>Y18+X19</x:f>
        <x:v>-2319308.6210744483</x:v>
      </x:c>
      <x:c r="Z19" s="11" t="n">
        <x:f>MAX(0,-MIN($Y$7:Y19))</x:f>
        <x:v>2319308.6210744483</x:v>
      </x:c>
    </x:row>
    <x:row r="20" ht="27" customHeight="1">
      <x:c r="A20" s="36" t="n">
        <x:v>14</x:v>
      </x:c>
      <x:c r="B20" s="37" t="n">
        <x:v>46692</x:v>
      </x:c>
      <x:c r="C20" s="38" t="n">
        <x:f>'Допущения'!$E$28+(A20-1)*'Допущения'!$E$29</x:f>
        <x:v>19</x:v>
      </x:c>
      <x:c r="D20" s="38" t="n">
        <x:f>C20*'Допущения'!$E$30</x:f>
        <x:v>5.7</x:v>
      </x:c>
      <x:c r="E20" s="38" t="n">
        <x:f>IF(A20&gt;'Допущения'!$E$32,INDEX($D$7:$D$30,A20-'Допущения'!$E$32)*'Допущения'!$E$31,0)</x:f>
        <x:v>2.55</x:v>
      </x:c>
      <x:c r="F20" s="38" t="n">
        <x:f>H19</x:f>
        <x:v>17.079587945988592</x:v>
      </x:c>
      <x:c r="G20" s="38" t="n">
        <x:f>F20*'Допущения'!$E$26</x:f>
        <x:v>0.25619381918982886</x:v>
      </x:c>
      <x:c r="H20" s="38" t="n">
        <x:f>F20-G20+E20</x:f>
        <x:v>19.373394126798765</x:v>
      </x:c>
      <x:c r="I20" s="39" t="n">
        <x:f>'Допущения'!$E$7</x:f>
        <x:v>49000</x:v>
      </x:c>
      <x:c r="J20" s="39" t="n">
        <x:f>H20*I20</x:f>
        <x:v>949296.3122131395</x:v>
      </x:c>
      <x:c r="K20" s="39" t="n">
        <x:f>D20*'Допущения'!$E$8</x:f>
        <x:v>256500</x:v>
      </x:c>
      <x:c r="L20" s="39" t="n">
        <x:f>E20*'Допущения'!$E$9</x:f>
        <x:v>76500</x:v>
      </x:c>
      <x:c r="M20" s="39" t="n">
        <x:f>SUM(J20:L20)</x:f>
        <x:v>1282296.3122131396</x:v>
      </x:c>
      <x:c r="N20" s="39" t="n">
        <x:f>H20*'Unit-экономика'!$B$15</x:f>
        <x:v>225252.6057748244</x:v>
      </x:c>
      <x:c r="O20" s="39" t="n">
        <x:f>D20*'Допущения'!$E$34*'Допущения'!$E$22</x:f>
        <x:v>102600.00000000001</x:v>
      </x:c>
      <x:c r="P20" s="39" t="n">
        <x:f>E20*'Допущения'!$E$35*'Допущения'!$E$22</x:f>
        <x:v>30599.999999999996</x:v>
      </x:c>
      <x:c r="Q20" s="39" t="n">
        <x:f>M20-SUM(N20:P20)</x:f>
        <x:v>923843.7064383152</x:v>
      </x:c>
      <x:c r="R20" s="39" t="n">
        <x:f>C20*'Допущения'!$E$33</x:f>
        <x:v>342000</x:v>
      </x:c>
      <x:c r="S20" s="39" t="n">
        <x:f>'Unit-экономика'!$B$23</x:f>
        <x:v>385000</x:v>
      </x:c>
      <x:c r="T20" s="39" t="n">
        <x:f>Q20-R20-S20</x:f>
        <x:v>196843.70643831522</x:v>
      </x:c>
      <x:c r="U20" s="39" t="n">
        <x:f>IF(A20&gt;'Допущения'!$E$42,INDEX($M$7:$M$30,A20-'Допущения'!$E$42),0)</x:f>
        <x:v>1151899.809353441</x:v>
      </x:c>
      <x:c r="V20" s="39" t="n">
        <x:f>SUM(N20:P20)+R20+S20</x:f>
        <x:v>1085452.6057748245</x:v>
      </x:c>
      <x:c r="W20" s="39" t="n">
        <x:f>IF(A20=1,'Допущения'!$E$41,0)</x:f>
        <x:v>0</x:v>
      </x:c>
      <x:c r="X20" s="39" t="n">
        <x:f>U20-V20-W20</x:f>
        <x:v>66447.20357861649</x:v>
      </x:c>
      <x:c r="Y20" s="39" t="n">
        <x:f>Y19+X20</x:f>
        <x:v>-2252861.417495832</x:v>
      </x:c>
      <x:c r="Z20" s="39" t="n">
        <x:f>MAX(0,-MIN($Y$7:Y20))</x:f>
        <x:v>2319308.6210744483</x:v>
      </x:c>
    </x:row>
    <x:row r="21" ht="27" customHeight="1">
      <x:c r="A21" s="32" t="n">
        <x:v>15</x:v>
      </x:c>
      <x:c r="B21" s="33" t="n">
        <x:v>46722</x:v>
      </x:c>
      <x:c r="C21" s="35" t="n">
        <x:f>'Допущения'!$E$28+(A21-1)*'Допущения'!$E$29</x:f>
        <x:v>20</x:v>
      </x:c>
      <x:c r="D21" s="35" t="n">
        <x:f>C21*'Допущения'!$E$30</x:f>
        <x:v>6</x:v>
      </x:c>
      <x:c r="E21" s="35" t="n">
        <x:f>IF(A21&gt;'Допущения'!$E$32,INDEX($D$7:$D$30,A21-'Допущения'!$E$32)*'Допущения'!$E$31,0)</x:f>
        <x:v>2.6999999999999997</x:v>
      </x:c>
      <x:c r="F21" s="35" t="n">
        <x:f>H20</x:f>
        <x:v>19.373394126798765</x:v>
      </x:c>
      <x:c r="G21" s="35" t="n">
        <x:f>F21*'Допущения'!$E$26</x:f>
        <x:v>0.29060091190198145</x:v>
      </x:c>
      <x:c r="H21" s="35" t="n">
        <x:f>F21-G21+E21</x:f>
        <x:v>21.78279321489678</x:v>
      </x:c>
      <x:c r="I21" s="11" t="n">
        <x:f>'Допущения'!$E$7</x:f>
        <x:v>49000</x:v>
      </x:c>
      <x:c r="J21" s="11" t="n">
        <x:f>H21*I21</x:f>
        <x:v>1067356.8675299422</x:v>
      </x:c>
      <x:c r="K21" s="11" t="n">
        <x:f>D21*'Допущения'!$E$8</x:f>
        <x:v>270000</x:v>
      </x:c>
      <x:c r="L21" s="11" t="n">
        <x:f>E21*'Допущения'!$E$9</x:f>
        <x:v>80999.99999999999</x:v>
      </x:c>
      <x:c r="M21" s="11" t="n">
        <x:f>SUM(J21:L21)</x:f>
        <x:v>1418356.8675299422</x:v>
      </x:c>
      <x:c r="N21" s="11" t="n">
        <x:f>H21*'Unit-экономика'!$B$15</x:f>
        <x:v>253266.45917570198</x:v>
      </x:c>
      <x:c r="O21" s="11" t="n">
        <x:f>D21*'Допущения'!$E$34*'Допущения'!$E$22</x:f>
        <x:v>108000</x:v>
      </x:c>
      <x:c r="P21" s="11" t="n">
        <x:f>E21*'Допущения'!$E$35*'Допущения'!$E$22</x:f>
        <x:v>32399.999999999996</x:v>
      </x:c>
      <x:c r="Q21" s="11" t="n">
        <x:f>M21-SUM(N21:P21)</x:f>
        <x:v>1024690.4083542402</x:v>
      </x:c>
      <x:c r="R21" s="11" t="n">
        <x:f>C21*'Допущения'!$E$33</x:f>
        <x:v>360000</x:v>
      </x:c>
      <x:c r="S21" s="11" t="n">
        <x:f>'Unit-экономика'!$B$23</x:f>
        <x:v>385000</x:v>
      </x:c>
      <x:c r="T21" s="11" t="n">
        <x:f>Q21-R21-S21</x:f>
        <x:v>279690.40835424024</x:v>
      </x:c>
      <x:c r="U21" s="11" t="n">
        <x:f>IF(A21&gt;'Допущения'!$E$42,INDEX($M$7:$M$30,A21-'Допущения'!$E$42),0)</x:f>
        <x:v>1282296.3122131396</x:v>
      </x:c>
      <x:c r="V21" s="11" t="n">
        <x:f>SUM(N21:P21)+R21+S21</x:f>
        <x:v>1138666.459175702</x:v>
      </x:c>
      <x:c r="W21" s="11" t="n">
        <x:f>IF(A21=1,'Допущения'!$E$41,0)</x:f>
        <x:v>0</x:v>
      </x:c>
      <x:c r="X21" s="11" t="n">
        <x:f>U21-V21-W21</x:f>
        <x:v>143629.85303743766</x:v>
      </x:c>
      <x:c r="Y21" s="11" t="n">
        <x:f>Y20+X21</x:f>
        <x:v>-2109231.5644583944</x:v>
      </x:c>
      <x:c r="Z21" s="11" t="n">
        <x:f>MAX(0,-MIN($Y$7:Y21))</x:f>
        <x:v>2319308.6210744483</x:v>
      </x:c>
    </x:row>
    <x:row r="22" ht="27" customHeight="1">
      <x:c r="A22" s="36" t="n">
        <x:v>16</x:v>
      </x:c>
      <x:c r="B22" s="37" t="n">
        <x:v>46753</x:v>
      </x:c>
      <x:c r="C22" s="38" t="n">
        <x:f>'Допущения'!$E$28+(A22-1)*'Допущения'!$E$29</x:f>
        <x:v>21</x:v>
      </x:c>
      <x:c r="D22" s="38" t="n">
        <x:f>C22*'Допущения'!$E$30</x:f>
        <x:v>6.3</x:v>
      </x:c>
      <x:c r="E22" s="38" t="n">
        <x:f>IF(A22&gt;'Допущения'!$E$32,INDEX($D$7:$D$30,A22-'Допущения'!$E$32)*'Допущения'!$E$31,0)</x:f>
        <x:v>2.85</x:v>
      </x:c>
      <x:c r="F22" s="38" t="n">
        <x:f>H21</x:f>
        <x:v>21.78279321489678</x:v>
      </x:c>
      <x:c r="G22" s="38" t="n">
        <x:f>F22*'Допущения'!$E$26</x:f>
        <x:v>0.32674189822345173</x:v>
      </x:c>
      <x:c r="H22" s="38" t="n">
        <x:f>F22-G22+E22</x:f>
        <x:v>24.30605131667333</x:v>
      </x:c>
      <x:c r="I22" s="39" t="n">
        <x:f>'Допущения'!$E$7</x:f>
        <x:v>49000</x:v>
      </x:c>
      <x:c r="J22" s="39" t="n">
        <x:f>H22*I22</x:f>
        <x:v>1190996.5145169932</x:v>
      </x:c>
      <x:c r="K22" s="39" t="n">
        <x:f>D22*'Допущения'!$E$8</x:f>
        <x:v>283500</x:v>
      </x:c>
      <x:c r="L22" s="39" t="n">
        <x:f>E22*'Допущения'!$E$9</x:f>
        <x:v>85500</x:v>
      </x:c>
      <x:c r="M22" s="39" t="n">
        <x:f>SUM(J22:L22)</x:f>
        <x:v>1559996.5145169932</x:v>
      </x:c>
      <x:c r="N22" s="39" t="n">
        <x:f>H22*'Unit-экономика'!$B$15</x:f>
        <x:v>282604.14046931645</x:v>
      </x:c>
      <x:c r="O22" s="39" t="n">
        <x:f>D22*'Допущения'!$E$34*'Допущения'!$E$22</x:f>
        <x:v>113399.99999999999</x:v>
      </x:c>
      <x:c r="P22" s="39" t="n">
        <x:f>E22*'Допущения'!$E$35*'Допущения'!$E$22</x:f>
        <x:v>34200</x:v>
      </x:c>
      <x:c r="Q22" s="39" t="n">
        <x:f>M22-SUM(N22:P22)</x:f>
        <x:v>1129792.3740476768</x:v>
      </x:c>
      <x:c r="R22" s="39" t="n">
        <x:f>C22*'Допущения'!$E$33</x:f>
        <x:v>378000</x:v>
      </x:c>
      <x:c r="S22" s="39" t="n">
        <x:f>'Unit-экономика'!$B$23</x:f>
        <x:v>385000</x:v>
      </x:c>
      <x:c r="T22" s="39" t="n">
        <x:f>Q22-R22-S22</x:f>
        <x:v>366792.3740476768</x:v>
      </x:c>
      <x:c r="U22" s="39" t="n">
        <x:f>IF(A22&gt;'Допущения'!$E$42,INDEX($M$7:$M$30,A22-'Допущения'!$E$42),0)</x:f>
        <x:v>1418356.8675299422</x:v>
      </x:c>
      <x:c r="V22" s="39" t="n">
        <x:f>SUM(N22:P22)+R22+S22</x:f>
        <x:v>1193204.1404693164</x:v>
      </x:c>
      <x:c r="W22" s="39" t="n">
        <x:f>IF(A22=1,'Допущения'!$E$41,0)</x:f>
        <x:v>0</x:v>
      </x:c>
      <x:c r="X22" s="39" t="n">
        <x:f>U22-V22-W22</x:f>
        <x:v>225152.7270606258</x:v>
      </x:c>
      <x:c r="Y22" s="39" t="n">
        <x:f>Y21+X22</x:f>
        <x:v>-1884078.8373977686</x:v>
      </x:c>
      <x:c r="Z22" s="39" t="n">
        <x:f>MAX(0,-MIN($Y$7:Y22))</x:f>
        <x:v>2319308.6210744483</x:v>
      </x:c>
    </x:row>
    <x:row r="23" ht="27" customHeight="1">
      <x:c r="A23" s="32" t="n">
        <x:v>17</x:v>
      </x:c>
      <x:c r="B23" s="33" t="n">
        <x:v>46784</x:v>
      </x:c>
      <x:c r="C23" s="35" t="n">
        <x:f>'Допущения'!$E$28+(A23-1)*'Допущения'!$E$29</x:f>
        <x:v>22</x:v>
      </x:c>
      <x:c r="D23" s="35" t="n">
        <x:f>C23*'Допущения'!$E$30</x:f>
        <x:v>6.6</x:v>
      </x:c>
      <x:c r="E23" s="35" t="n">
        <x:f>IF(A23&gt;'Допущения'!$E$32,INDEX($D$7:$D$30,A23-'Допущения'!$E$32)*'Допущения'!$E$31,0)</x:f>
        <x:v>3</x:v>
      </x:c>
      <x:c r="F23" s="35" t="n">
        <x:f>H22</x:f>
        <x:v>24.30605131667333</x:v>
      </x:c>
      <x:c r="G23" s="35" t="n">
        <x:f>F23*'Допущения'!$E$26</x:f>
        <x:v>0.3645907697500999</x:v>
      </x:c>
      <x:c r="H23" s="35" t="n">
        <x:f>F23-G23+E23</x:f>
        <x:v>26.941460546923228</x:v>
      </x:c>
      <x:c r="I23" s="11" t="n">
        <x:f>'Допущения'!$E$7</x:f>
        <x:v>49000</x:v>
      </x:c>
      <x:c r="J23" s="11" t="n">
        <x:f>H23*I23</x:f>
        <x:v>1320131.566799238</x:v>
      </x:c>
      <x:c r="K23" s="11" t="n">
        <x:f>D23*'Допущения'!$E$8</x:f>
        <x:v>297000</x:v>
      </x:c>
      <x:c r="L23" s="11" t="n">
        <x:f>E23*'Допущения'!$E$9</x:f>
        <x:v>90000</x:v>
      </x:c>
      <x:c r="M23" s="11" t="n">
        <x:f>SUM(J23:L23)</x:f>
        <x:v>1707131.566799238</x:v>
      </x:c>
      <x:c r="N23" s="11" t="n">
        <x:f>H23*'Unit-экономика'!$B$15</x:f>
        <x:v>313245.7922372767</x:v>
      </x:c>
      <x:c r="O23" s="11" t="n">
        <x:f>D23*'Допущения'!$E$34*'Допущения'!$E$22</x:f>
        <x:v>118799.99999999999</x:v>
      </x:c>
      <x:c r="P23" s="11" t="n">
        <x:f>E23*'Допущения'!$E$35*'Допущения'!$E$22</x:f>
        <x:v>36000</x:v>
      </x:c>
      <x:c r="Q23" s="11" t="n">
        <x:f>M23-SUM(N23:P23)</x:f>
        <x:v>1239085.7745619614</x:v>
      </x:c>
      <x:c r="R23" s="11" t="n">
        <x:f>C23*'Допущения'!$E$33</x:f>
        <x:v>396000</x:v>
      </x:c>
      <x:c r="S23" s="11" t="n">
        <x:f>'Unit-экономика'!$B$23</x:f>
        <x:v>385000</x:v>
      </x:c>
      <x:c r="T23" s="11" t="n">
        <x:f>Q23-R23-S23</x:f>
        <x:v>458085.7745619614</x:v>
      </x:c>
      <x:c r="U23" s="11" t="n">
        <x:f>IF(A23&gt;'Допущения'!$E$42,INDEX($M$7:$M$30,A23-'Допущения'!$E$42),0)</x:f>
        <x:v>1559996.5145169932</x:v>
      </x:c>
      <x:c r="V23" s="11" t="n">
        <x:f>SUM(N23:P23)+R23+S23</x:f>
        <x:v>1249045.7922372767</x:v>
      </x:c>
      <x:c r="W23" s="11" t="n">
        <x:f>IF(A23=1,'Допущения'!$E$41,0)</x:f>
        <x:v>0</x:v>
      </x:c>
      <x:c r="X23" s="11" t="n">
        <x:f>U23-V23-W23</x:f>
        <x:v>310950.7222797165</x:v>
      </x:c>
      <x:c r="Y23" s="11" t="n">
        <x:f>Y22+X23</x:f>
        <x:v>-1573128.115118052</x:v>
      </x:c>
      <x:c r="Z23" s="11" t="n">
        <x:f>MAX(0,-MIN($Y$7:Y23))</x:f>
        <x:v>2319308.6210744483</x:v>
      </x:c>
    </x:row>
    <x:row r="24" ht="27" customHeight="1">
      <x:c r="A24" s="36" t="n">
        <x:v>18</x:v>
      </x:c>
      <x:c r="B24" s="37" t="n">
        <x:v>46813</x:v>
      </x:c>
      <x:c r="C24" s="38" t="n">
        <x:f>'Допущения'!$E$28+(A24-1)*'Допущения'!$E$29</x:f>
        <x:v>23</x:v>
      </x:c>
      <x:c r="D24" s="38" t="n">
        <x:f>C24*'Допущения'!$E$30</x:f>
        <x:v>6.8999999999999995</x:v>
      </x:c>
      <x:c r="E24" s="38" t="n">
        <x:f>IF(A24&gt;'Допущения'!$E$32,INDEX($D$7:$D$30,A24-'Допущения'!$E$32)*'Допущения'!$E$31,0)</x:f>
        <x:v>3.15</x:v>
      </x:c>
      <x:c r="F24" s="38" t="n">
        <x:f>H23</x:f>
        <x:v>26.941460546923228</x:v>
      </x:c>
      <x:c r="G24" s="38" t="n">
        <x:f>F24*'Допущения'!$E$26</x:f>
        <x:v>0.4041219082038484</x:v>
      </x:c>
      <x:c r="H24" s="38" t="n">
        <x:f>F24-G24+E24</x:f>
        <x:v>29.68733863871938</x:v>
      </x:c>
      <x:c r="I24" s="39" t="n">
        <x:f>'Допущения'!$E$7</x:f>
        <x:v>49000</x:v>
      </x:c>
      <x:c r="J24" s="39" t="n">
        <x:f>H24*I24</x:f>
        <x:v>1454679.5932972496</x:v>
      </x:c>
      <x:c r="K24" s="39" t="n">
        <x:f>D24*'Допущения'!$E$8</x:f>
        <x:v>310500</x:v>
      </x:c>
      <x:c r="L24" s="39" t="n">
        <x:f>E24*'Допущения'!$E$9</x:f>
        <x:v>94500</x:v>
      </x:c>
      <x:c r="M24" s="39" t="n">
        <x:f>SUM(J24:L24)</x:f>
        <x:v>1859679.5932972496</x:v>
      </x:c>
      <x:c r="N24" s="39" t="n">
        <x:f>H24*'Unit-экономика'!$B$15</x:f>
        <x:v>345171.8549224675</x:v>
      </x:c>
      <x:c r="O24" s="39" t="n">
        <x:f>D24*'Допущения'!$E$34*'Допущения'!$E$22</x:f>
        <x:v>124200</x:v>
      </x:c>
      <x:c r="P24" s="39" t="n">
        <x:f>E24*'Допущения'!$E$35*'Допущения'!$E$22</x:f>
        <x:v>37800</x:v>
      </x:c>
      <x:c r="Q24" s="39" t="n">
        <x:f>M24-SUM(N24:P24)</x:f>
        <x:v>1352507.7383747823</x:v>
      </x:c>
      <x:c r="R24" s="39" t="n">
        <x:f>C24*'Допущения'!$E$33</x:f>
        <x:v>414000</x:v>
      </x:c>
      <x:c r="S24" s="39" t="n">
        <x:f>'Unit-экономика'!$B$23</x:f>
        <x:v>385000</x:v>
      </x:c>
      <x:c r="T24" s="39" t="n">
        <x:f>Q24-R24-S24</x:f>
        <x:v>553507.7383747823</x:v>
      </x:c>
      <x:c r="U24" s="39" t="n">
        <x:f>IF(A24&gt;'Допущения'!$E$42,INDEX($M$7:$M$30,A24-'Допущения'!$E$42),0)</x:f>
        <x:v>1707131.566799238</x:v>
      </x:c>
      <x:c r="V24" s="39" t="n">
        <x:f>SUM(N24:P24)+R24+S24</x:f>
        <x:v>1306171.8549224674</x:v>
      </x:c>
      <x:c r="W24" s="39" t="n">
        <x:f>IF(A24=1,'Допущения'!$E$41,0)</x:f>
        <x:v>0</x:v>
      </x:c>
      <x:c r="X24" s="39" t="n">
        <x:f>U24-V24-W24</x:f>
        <x:v>400959.7118767707</x:v>
      </x:c>
      <x:c r="Y24" s="39" t="n">
        <x:f>Y23+X24</x:f>
        <x:v>-1172168.4032412814</x:v>
      </x:c>
      <x:c r="Z24" s="39" t="n">
        <x:f>MAX(0,-MIN($Y$7:Y24))</x:f>
        <x:v>2319308.6210744483</x:v>
      </x:c>
    </x:row>
    <x:row r="25" ht="27" customHeight="1">
      <x:c r="A25" s="32" t="n">
        <x:v>19</x:v>
      </x:c>
      <x:c r="B25" s="33" t="n">
        <x:v>46844</x:v>
      </x:c>
      <x:c r="C25" s="35" t="n">
        <x:f>'Допущения'!$E$28+(A25-1)*'Допущения'!$E$29</x:f>
        <x:v>24</x:v>
      </x:c>
      <x:c r="D25" s="35" t="n">
        <x:f>C25*'Допущения'!$E$30</x:f>
        <x:v>7.199999999999999</x:v>
      </x:c>
      <x:c r="E25" s="35" t="n">
        <x:f>IF(A25&gt;'Допущения'!$E$32,INDEX($D$7:$D$30,A25-'Допущения'!$E$32)*'Допущения'!$E$31,0)</x:f>
        <x:v>3.3</x:v>
      </x:c>
      <x:c r="F25" s="35" t="n">
        <x:f>H24</x:f>
        <x:v>29.68733863871938</x:v>
      </x:c>
      <x:c r="G25" s="35" t="n">
        <x:f>F25*'Допущения'!$E$26</x:f>
        <x:v>0.44531007958079066</x:v>
      </x:c>
      <x:c r="H25" s="35" t="n">
        <x:f>F25-G25+E25</x:f>
        <x:v>32.542028559138586</x:v>
      </x:c>
      <x:c r="I25" s="11" t="n">
        <x:f>'Допущения'!$E$7</x:f>
        <x:v>49000</x:v>
      </x:c>
      <x:c r="J25" s="11" t="n">
        <x:f>H25*I25</x:f>
        <x:v>1594559.3993977907</x:v>
      </x:c>
      <x:c r="K25" s="11" t="n">
        <x:f>D25*'Допущения'!$E$8</x:f>
        <x:v>323999.99999999994</x:v>
      </x:c>
      <x:c r="L25" s="11" t="n">
        <x:f>E25*'Допущения'!$E$9</x:f>
        <x:v>99000</x:v>
      </x:c>
      <x:c r="M25" s="11" t="n">
        <x:f>SUM(J25:L25)</x:f>
        <x:v>2017559.3993977907</x:v>
      </x:c>
      <x:c r="N25" s="11" t="n">
        <x:f>H25*'Unit-экономика'!$B$15</x:f>
        <x:v>378363.0623611305</x:v>
      </x:c>
      <x:c r="O25" s="11" t="n">
        <x:f>D25*'Допущения'!$E$34*'Допущения'!$E$22</x:f>
        <x:v>129599.99999999999</x:v>
      </x:c>
      <x:c r="P25" s="11" t="n">
        <x:f>E25*'Допущения'!$E$35*'Допущения'!$E$22</x:f>
        <x:v>39600</x:v>
      </x:c>
      <x:c r="Q25" s="11" t="n">
        <x:f>M25-SUM(N25:P25)</x:f>
        <x:v>1469996.3370366602</x:v>
      </x:c>
      <x:c r="R25" s="11" t="n">
        <x:f>C25*'Допущения'!$E$33</x:f>
        <x:v>432000</x:v>
      </x:c>
      <x:c r="S25" s="11" t="n">
        <x:f>'Unit-экономика'!$B$23</x:f>
        <x:v>385000</x:v>
      </x:c>
      <x:c r="T25" s="11" t="n">
        <x:f>Q25-R25-S25</x:f>
        <x:v>652996.3370366602</x:v>
      </x:c>
      <x:c r="U25" s="11" t="n">
        <x:f>IF(A25&gt;'Допущения'!$E$42,INDEX($M$7:$M$30,A25-'Допущения'!$E$42),0)</x:f>
        <x:v>1859679.5932972496</x:v>
      </x:c>
      <x:c r="V25" s="11" t="n">
        <x:f>SUM(N25:P25)+R25+S25</x:f>
        <x:v>1364563.0623611305</x:v>
      </x:c>
      <x:c r="W25" s="11" t="n">
        <x:f>IF(A25=1,'Допущения'!$E$41,0)</x:f>
        <x:v>0</x:v>
      </x:c>
      <x:c r="X25" s="11" t="n">
        <x:f>U25-V25-W25</x:f>
        <x:v>495116.53093611915</x:v>
      </x:c>
      <x:c r="Y25" s="11" t="n">
        <x:f>Y24+X25</x:f>
        <x:v>-677051.8723051623</x:v>
      </x:c>
      <x:c r="Z25" s="11" t="n">
        <x:f>MAX(0,-MIN($Y$7:Y25))</x:f>
        <x:v>2319308.6210744483</x:v>
      </x:c>
    </x:row>
    <x:row r="26" ht="27" customHeight="1">
      <x:c r="A26" s="36" t="n">
        <x:v>20</x:v>
      </x:c>
      <x:c r="B26" s="37" t="n">
        <x:v>46874</x:v>
      </x:c>
      <x:c r="C26" s="38" t="n">
        <x:f>'Допущения'!$E$28+(A26-1)*'Допущения'!$E$29</x:f>
        <x:v>25</x:v>
      </x:c>
      <x:c r="D26" s="38" t="n">
        <x:f>C26*'Допущения'!$E$30</x:f>
        <x:v>7.5</x:v>
      </x:c>
      <x:c r="E26" s="38" t="n">
        <x:f>IF(A26&gt;'Допущения'!$E$32,INDEX($D$7:$D$30,A26-'Допущения'!$E$32)*'Допущения'!$E$31,0)</x:f>
        <x:v>3.4499999999999997</x:v>
      </x:c>
      <x:c r="F26" s="38" t="n">
        <x:f>H25</x:f>
        <x:v>32.542028559138586</x:v>
      </x:c>
      <x:c r="G26" s="38" t="n">
        <x:f>F26*'Допущения'!$E$26</x:f>
        <x:v>0.48813042838707876</x:v>
      </x:c>
      <x:c r="H26" s="38" t="n">
        <x:f>F26-G26+E26</x:f>
        <x:v>35.50389813075151</x:v>
      </x:c>
      <x:c r="I26" s="39" t="n">
        <x:f>'Допущения'!$E$7</x:f>
        <x:v>49000</x:v>
      </x:c>
      <x:c r="J26" s="39" t="n">
        <x:f>H26*I26</x:f>
        <x:v>1739691.008406824</x:v>
      </x:c>
      <x:c r="K26" s="39" t="n">
        <x:f>D26*'Допущения'!$E$8</x:f>
        <x:v>337500</x:v>
      </x:c>
      <x:c r="L26" s="39" t="n">
        <x:f>E26*'Допущения'!$E$9</x:f>
        <x:v>103499.99999999999</x:v>
      </x:c>
      <x:c r="M26" s="39" t="n">
        <x:f>SUM(J26:L26)</x:f>
        <x:v>2180691.008406824</x:v>
      </x:c>
      <x:c r="N26" s="39" t="n">
        <x:f>H26*'Unit-экономика'!$B$15</x:f>
        <x:v>412800.43738196354</x:v>
      </x:c>
      <x:c r="O26" s="39" t="n">
        <x:f>D26*'Допущения'!$E$34*'Допущения'!$E$22</x:f>
        <x:v>135000</x:v>
      </x:c>
      <x:c r="P26" s="39" t="n">
        <x:f>E26*'Допущения'!$E$35*'Допущения'!$E$22</x:f>
        <x:v>41400</x:v>
      </x:c>
      <x:c r="Q26" s="39" t="n">
        <x:f>M26-SUM(N26:P26)</x:f>
        <x:v>1591490.5710248605</x:v>
      </x:c>
      <x:c r="R26" s="39" t="n">
        <x:f>C26*'Допущения'!$E$33</x:f>
        <x:v>450000</x:v>
      </x:c>
      <x:c r="S26" s="39" t="n">
        <x:f>'Unit-экономика'!$B$23</x:f>
        <x:v>385000</x:v>
      </x:c>
      <x:c r="T26" s="39" t="n">
        <x:f>Q26-R26-S26</x:f>
        <x:v>756490.5710248605</x:v>
      </x:c>
      <x:c r="U26" s="39" t="n">
        <x:f>IF(A26&gt;'Допущения'!$E$42,INDEX($M$7:$M$30,A26-'Допущения'!$E$42),0)</x:f>
        <x:v>2017559.3993977907</x:v>
      </x:c>
      <x:c r="V26" s="39" t="n">
        <x:f>SUM(N26:P26)+R26+S26</x:f>
        <x:v>1424200.4373819635</x:v>
      </x:c>
      <x:c r="W26" s="39" t="n">
        <x:f>IF(A26=1,'Допущения'!$E$41,0)</x:f>
        <x:v>0</x:v>
      </x:c>
      <x:c r="X26" s="39" t="n">
        <x:f>U26-V26-W26</x:f>
        <x:v>593358.9620158272</x:v>
      </x:c>
      <x:c r="Y26" s="39" t="n">
        <x:f>Y25+X26</x:f>
        <x:v>-83692.91028933506</x:v>
      </x:c>
      <x:c r="Z26" s="39" t="n">
        <x:f>MAX(0,-MIN($Y$7:Y26))</x:f>
        <x:v>2319308.6210744483</x:v>
      </x:c>
    </x:row>
    <x:row r="27" ht="27" customHeight="1">
      <x:c r="A27" s="32" t="n">
        <x:v>21</x:v>
      </x:c>
      <x:c r="B27" s="33" t="n">
        <x:v>46905</x:v>
      </x:c>
      <x:c r="C27" s="35" t="n">
        <x:f>'Допущения'!$E$28+(A27-1)*'Допущения'!$E$29</x:f>
        <x:v>26</x:v>
      </x:c>
      <x:c r="D27" s="35" t="n">
        <x:f>C27*'Допущения'!$E$30</x:f>
        <x:v>7.8</x:v>
      </x:c>
      <x:c r="E27" s="35" t="n">
        <x:f>IF(A27&gt;'Допущения'!$E$32,INDEX($D$7:$D$30,A27-'Допущения'!$E$32)*'Допущения'!$E$31,0)</x:f>
        <x:v>3.5999999999999996</x:v>
      </x:c>
      <x:c r="F27" s="35" t="n">
        <x:f>H26</x:f>
        <x:v>35.50389813075151</x:v>
      </x:c>
      <x:c r="G27" s="35" t="n">
        <x:f>F27*'Допущения'!$E$26</x:f>
        <x:v>0.5325584719612726</x:v>
      </x:c>
      <x:c r="H27" s="35" t="n">
        <x:f>F27-G27+E27</x:f>
        <x:v>38.57133965879024</x:v>
      </x:c>
      <x:c r="I27" s="11" t="n">
        <x:f>'Допущения'!$E$7</x:f>
        <x:v>49000</x:v>
      </x:c>
      <x:c r="J27" s="11" t="n">
        <x:f>H27*I27</x:f>
        <x:v>1889995.6432807215</x:v>
      </x:c>
      <x:c r="K27" s="11" t="n">
        <x:f>D27*'Допущения'!$E$8</x:f>
        <x:v>351000</x:v>
      </x:c>
      <x:c r="L27" s="11" t="n">
        <x:f>E27*'Допущения'!$E$9</x:f>
        <x:v>107999.99999999999</x:v>
      </x:c>
      <x:c r="M27" s="11" t="n">
        <x:f>SUM(J27:L27)</x:f>
        <x:v>2348995.6432807213</x:v>
      </x:c>
      <x:c r="N27" s="11" t="n">
        <x:f>H27*'Unit-экономика'!$B$15</x:f>
        <x:v>448465.2874712341</x:v>
      </x:c>
      <x:c r="O27" s="11" t="n">
        <x:f>D27*'Допущения'!$E$34*'Допущения'!$E$22</x:f>
        <x:v>140400</x:v>
      </x:c>
      <x:c r="P27" s="11" t="n">
        <x:f>E27*'Допущения'!$E$35*'Допущения'!$E$22</x:f>
        <x:v>43199.99999999999</x:v>
      </x:c>
      <x:c r="Q27" s="11" t="n">
        <x:f>M27-SUM(N27:P27)</x:f>
        <x:v>1716930.3558094872</x:v>
      </x:c>
      <x:c r="R27" s="11" t="n">
        <x:f>C27*'Допущения'!$E$33</x:f>
        <x:v>468000</x:v>
      </x:c>
      <x:c r="S27" s="11" t="n">
        <x:f>'Unit-экономика'!$B$23</x:f>
        <x:v>385000</x:v>
      </x:c>
      <x:c r="T27" s="11" t="n">
        <x:f>Q27-R27-S27</x:f>
        <x:v>863930.3558094872</x:v>
      </x:c>
      <x:c r="U27" s="11" t="n">
        <x:f>IF(A27&gt;'Допущения'!$E$42,INDEX($M$7:$M$30,A27-'Допущения'!$E$42),0)</x:f>
        <x:v>2180691.008406824</x:v>
      </x:c>
      <x:c r="V27" s="11" t="n">
        <x:f>SUM(N27:P27)+R27+S27</x:f>
        <x:v>1485065.287471234</x:v>
      </x:c>
      <x:c r="W27" s="11" t="n">
        <x:f>IF(A27=1,'Допущения'!$E$41,0)</x:f>
        <x:v>0</x:v>
      </x:c>
      <x:c r="X27" s="11" t="n">
        <x:f>U27-V27-W27</x:f>
        <x:v>695625.7209355899</x:v>
      </x:c>
      <x:c r="Y27" s="11" t="n">
        <x:f>Y26+X27</x:f>
        <x:v>611932.8106462548</x:v>
      </x:c>
      <x:c r="Z27" s="11" t="n">
        <x:f>MAX(0,-MIN($Y$7:Y27))</x:f>
        <x:v>2319308.6210744483</x:v>
      </x:c>
    </x:row>
    <x:row r="28" ht="27" customHeight="1">
      <x:c r="A28" s="36" t="n">
        <x:v>22</x:v>
      </x:c>
      <x:c r="B28" s="37" t="n">
        <x:v>46935</x:v>
      </x:c>
      <x:c r="C28" s="38" t="n">
        <x:f>'Допущения'!$E$28+(A28-1)*'Допущения'!$E$29</x:f>
        <x:v>27</x:v>
      </x:c>
      <x:c r="D28" s="38" t="n">
        <x:f>C28*'Допущения'!$E$30</x:f>
        <x:v>8.1</x:v>
      </x:c>
      <x:c r="E28" s="38" t="n">
        <x:f>IF(A28&gt;'Допущения'!$E$32,INDEX($D$7:$D$30,A28-'Допущения'!$E$32)*'Допущения'!$E$31,0)</x:f>
        <x:v>3.75</x:v>
      </x:c>
      <x:c r="F28" s="38" t="n">
        <x:f>H27</x:f>
        <x:v>38.57133965879024</x:v>
      </x:c>
      <x:c r="G28" s="38" t="n">
        <x:f>F28*'Допущения'!$E$26</x:f>
        <x:v>0.5785700948818535</x:v>
      </x:c>
      <x:c r="H28" s="38" t="n">
        <x:f>F28-G28+E28</x:f>
        <x:v>41.74276956390838</x:v>
      </x:c>
      <x:c r="I28" s="39" t="n">
        <x:f>'Допущения'!$E$7</x:f>
        <x:v>49000</x:v>
      </x:c>
      <x:c r="J28" s="39" t="n">
        <x:f>H28*I28</x:f>
        <x:v>2045395.7086315106</x:v>
      </x:c>
      <x:c r="K28" s="39" t="n">
        <x:f>D28*'Допущения'!$E$8</x:f>
        <x:v>364500</x:v>
      </x:c>
      <x:c r="L28" s="39" t="n">
        <x:f>E28*'Допущения'!$E$9</x:f>
        <x:v>112500</x:v>
      </x:c>
      <x:c r="M28" s="39" t="n">
        <x:f>SUM(J28:L28)</x:f>
        <x:v>2522395.708631511</x:v>
      </x:c>
      <x:c r="N28" s="39" t="n">
        <x:f>H28*'Unit-экономика'!$B$15</x:f>
        <x:v>485339.20050291554</x:v>
      </x:c>
      <x:c r="O28" s="39" t="n">
        <x:f>D28*'Допущения'!$E$34*'Допущения'!$E$22</x:f>
        <x:v>145799.99999999997</x:v>
      </x:c>
      <x:c r="P28" s="39" t="n">
        <x:f>E28*'Допущения'!$E$35*'Допущения'!$E$22</x:f>
        <x:v>45000</x:v>
      </x:c>
      <x:c r="Q28" s="39" t="n">
        <x:f>M28-SUM(N28:P28)</x:f>
        <x:v>1846256.5081285953</x:v>
      </x:c>
      <x:c r="R28" s="39" t="n">
        <x:f>C28*'Допущения'!$E$33</x:f>
        <x:v>486000</x:v>
      </x:c>
      <x:c r="S28" s="39" t="n">
        <x:f>'Unit-экономика'!$B$23</x:f>
        <x:v>385000</x:v>
      </x:c>
      <x:c r="T28" s="39" t="n">
        <x:f>Q28-R28-S28</x:f>
        <x:v>975256.5081285953</x:v>
      </x:c>
      <x:c r="U28" s="39" t="n">
        <x:f>IF(A28&gt;'Допущения'!$E$42,INDEX($M$7:$M$30,A28-'Допущения'!$E$42),0)</x:f>
        <x:v>2348995.6432807213</x:v>
      </x:c>
      <x:c r="V28" s="39" t="n">
        <x:f>SUM(N28:P28)+R28+S28</x:f>
        <x:v>1547139.2005029155</x:v>
      </x:c>
      <x:c r="W28" s="39" t="n">
        <x:f>IF(A28=1,'Допущения'!$E$41,0)</x:f>
        <x:v>0</x:v>
      </x:c>
      <x:c r="X28" s="39" t="n">
        <x:f>U28-V28-W28</x:f>
        <x:v>801856.4427778057</x:v>
      </x:c>
      <x:c r="Y28" s="39" t="n">
        <x:f>Y27+X28</x:f>
        <x:v>1413789.2534240605</x:v>
      </x:c>
      <x:c r="Z28" s="39" t="n">
        <x:f>MAX(0,-MIN($Y$7:Y28))</x:f>
        <x:v>2319308.6210744483</x:v>
      </x:c>
    </x:row>
    <x:row r="29" ht="27" customHeight="1">
      <x:c r="A29" s="32" t="n">
        <x:v>23</x:v>
      </x:c>
      <x:c r="B29" s="33" t="n">
        <x:v>46966</x:v>
      </x:c>
      <x:c r="C29" s="35" t="n">
        <x:f>'Допущения'!$E$28+(A29-1)*'Допущения'!$E$29</x:f>
        <x:v>28</x:v>
      </x:c>
      <x:c r="D29" s="35" t="n">
        <x:f>C29*'Допущения'!$E$30</x:f>
        <x:v>8.4</x:v>
      </x:c>
      <x:c r="E29" s="35" t="n">
        <x:f>IF(A29&gt;'Допущения'!$E$32,INDEX($D$7:$D$30,A29-'Допущения'!$E$32)*'Допущения'!$E$31,0)</x:f>
        <x:v>3.9</x:v>
      </x:c>
      <x:c r="F29" s="35" t="n">
        <x:f>H28</x:f>
        <x:v>41.74276956390838</x:v>
      </x:c>
      <x:c r="G29" s="35" t="n">
        <x:f>F29*'Допущения'!$E$26</x:f>
        <x:v>0.6261415434586257</x:v>
      </x:c>
      <x:c r="H29" s="35" t="n">
        <x:f>F29-G29+E29</x:f>
        <x:v>45.01662802044976</x:v>
      </x:c>
      <x:c r="I29" s="11" t="n">
        <x:f>'Допущения'!$E$7</x:f>
        <x:v>49000</x:v>
      </x:c>
      <x:c r="J29" s="11" t="n">
        <x:f>H29*I29</x:f>
        <x:v>2205814.7730020382</x:v>
      </x:c>
      <x:c r="K29" s="11" t="n">
        <x:f>D29*'Допущения'!$E$8</x:f>
        <x:v>378000</x:v>
      </x:c>
      <x:c r="L29" s="11" t="n">
        <x:f>E29*'Допущения'!$E$9</x:f>
        <x:v>117000</x:v>
      </x:c>
      <x:c r="M29" s="11" t="n">
        <x:f>SUM(J29:L29)</x:f>
        <x:v>2700814.7730020382</x:v>
      </x:c>
      <x:c r="N29" s="11" t="n">
        <x:f>H29*'Unit-экономика'!$B$15</x:f>
        <x:v>523404.04053287185</x:v>
      </x:c>
      <x:c r="O29" s="11" t="n">
        <x:f>D29*'Допущения'!$E$34*'Допущения'!$E$22</x:f>
        <x:v>151200.00000000003</x:v>
      </x:c>
      <x:c r="P29" s="11" t="n">
        <x:f>E29*'Допущения'!$E$35*'Допущения'!$E$22</x:f>
        <x:v>46800</x:v>
      </x:c>
      <x:c r="Q29" s="11" t="n">
        <x:f>M29-SUM(N29:P29)</x:f>
        <x:v>1979410.7324691664</x:v>
      </x:c>
      <x:c r="R29" s="11" t="n">
        <x:f>C29*'Допущения'!$E$33</x:f>
        <x:v>504000</x:v>
      </x:c>
      <x:c r="S29" s="11" t="n">
        <x:f>'Unit-экономика'!$B$23</x:f>
        <x:v>385000</x:v>
      </x:c>
      <x:c r="T29" s="11" t="n">
        <x:f>Q29-R29-S29</x:f>
        <x:v>1090410.7324691664</x:v>
      </x:c>
      <x:c r="U29" s="11" t="n">
        <x:f>IF(A29&gt;'Допущения'!$E$42,INDEX($M$7:$M$30,A29-'Допущения'!$E$42),0)</x:f>
        <x:v>2522395.708631511</x:v>
      </x:c>
      <x:c r="V29" s="11" t="n">
        <x:f>SUM(N29:P29)+R29+S29</x:f>
        <x:v>1610404.0405328718</x:v>
      </x:c>
      <x:c r="W29" s="11" t="n">
        <x:f>IF(A29=1,'Допущения'!$E$41,0)</x:f>
        <x:v>0</x:v>
      </x:c>
      <x:c r="X29" s="11" t="n">
        <x:f>U29-V29-W29</x:f>
        <x:v>911991.668098639</x:v>
      </x:c>
      <x:c r="Y29" s="11" t="n">
        <x:f>Y28+X29</x:f>
        <x:v>2325780.9215226993</x:v>
      </x:c>
      <x:c r="Z29" s="11" t="n">
        <x:f>MAX(0,-MIN($Y$7:Y29))</x:f>
        <x:v>2319308.6210744483</x:v>
      </x:c>
    </x:row>
    <x:row r="30" ht="27" customHeight="1">
      <x:c r="A30" s="36" t="n">
        <x:v>24</x:v>
      </x:c>
      <x:c r="B30" s="37" t="n">
        <x:v>46997</x:v>
      </x:c>
      <x:c r="C30" s="38" t="n">
        <x:f>'Допущения'!$E$28+(A30-1)*'Допущения'!$E$29</x:f>
        <x:v>29</x:v>
      </x:c>
      <x:c r="D30" s="38" t="n">
        <x:f>C30*'Допущения'!$E$30</x:f>
        <x:v>8.7</x:v>
      </x:c>
      <x:c r="E30" s="38" t="n">
        <x:f>IF(A30&gt;'Допущения'!$E$32,INDEX($D$7:$D$30,A30-'Допущения'!$E$32)*'Допущения'!$E$31,0)</x:f>
        <x:v>4.05</x:v>
      </x:c>
      <x:c r="F30" s="38" t="n">
        <x:f>H29</x:f>
        <x:v>45.01662802044976</x:v>
      </x:c>
      <x:c r="G30" s="38" t="n">
        <x:f>F30*'Допущения'!$E$26</x:f>
        <x:v>0.6752494203067464</x:v>
      </x:c>
      <x:c r="H30" s="38" t="n">
        <x:f>F30-G30+E30</x:f>
        <x:v>48.39137860014301</x:v>
      </x:c>
      <x:c r="I30" s="39" t="n">
        <x:f>'Допущения'!$E$7</x:f>
        <x:v>49000</x:v>
      </x:c>
      <x:c r="J30" s="39" t="n">
        <x:f>H30*I30</x:f>
        <x:v>2371177.5514070075</x:v>
      </x:c>
      <x:c r="K30" s="39" t="n">
        <x:f>D30*'Допущения'!$E$8</x:f>
        <x:v>391499.99999999994</x:v>
      </x:c>
      <x:c r="L30" s="39" t="n">
        <x:f>E30*'Допущения'!$E$9</x:f>
        <x:v>121500</x:v>
      </x:c>
      <x:c r="M30" s="39" t="n">
        <x:f>SUM(J30:L30)</x:f>
        <x:v>2884177.5514070075</x:v>
      </x:c>
      <x:c r="N30" s="39" t="n">
        <x:f>H30*'Unit-экономика'!$B$15</x:f>
        <x:v>562641.9436561287</x:v>
      </x:c>
      <x:c r="O30" s="39" t="n">
        <x:f>D30*'Допущения'!$E$34*'Допущения'!$E$22</x:f>
        <x:v>156600</x:v>
      </x:c>
      <x:c r="P30" s="39" t="n">
        <x:f>E30*'Допущения'!$E$35*'Допущения'!$E$22</x:f>
        <x:v>48600</x:v>
      </x:c>
      <x:c r="Q30" s="39" t="n">
        <x:f>M30-SUM(N30:P30)</x:f>
        <x:v>2116335.6077508787</x:v>
      </x:c>
      <x:c r="R30" s="39" t="n">
        <x:f>C30*'Допущения'!$E$33</x:f>
        <x:v>522000</x:v>
      </x:c>
      <x:c r="S30" s="39" t="n">
        <x:f>'Unit-экономика'!$B$23</x:f>
        <x:v>385000</x:v>
      </x:c>
      <x:c r="T30" s="39" t="n">
        <x:f>Q30-R30-S30</x:f>
        <x:v>1209335.6077508787</x:v>
      </x:c>
      <x:c r="U30" s="39" t="n">
        <x:f>IF(A30&gt;'Допущения'!$E$42,INDEX($M$7:$M$30,A30-'Допущения'!$E$42),0)</x:f>
        <x:v>2700814.7730020382</x:v>
      </x:c>
      <x:c r="V30" s="39" t="n">
        <x:f>SUM(N30:P30)+R30+S30</x:f>
        <x:v>1674841.9436561288</x:v>
      </x:c>
      <x:c r="W30" s="39" t="n">
        <x:f>IF(A30=1,'Допущения'!$E$41,0)</x:f>
        <x:v>0</x:v>
      </x:c>
      <x:c r="X30" s="39" t="n">
        <x:f>U30-V30-W30</x:f>
        <x:v>1025972.8293459094</x:v>
      </x:c>
      <x:c r="Y30" s="39" t="n">
        <x:f>Y29+X30</x:f>
        <x:v>3351753.7508686087</x:v>
      </x:c>
      <x:c r="Z30" s="39" t="n">
        <x:f>MAX(0,-MIN($Y$7:Y30))</x:f>
        <x:v>2319308.6210744483</x:v>
      </x:c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</x:sheetData>
  <x:mergeCells>
    <x:mergeCell ref="A1:Z2"/>
    <x:mergeCell ref="A4:Z4"/>
  </x:mergeCells>
  <x:conditionalFormatting sqref="T7:T30">
    <x:cfRule type="cellIs" dxfId="0" priority="1" operator="lessThan">
      <x:formula>0</x:formula>
    </x:cfRule>
  </x:conditionalFormatting>
  <x:conditionalFormatting sqref="Y7:Y30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4" t="str">
        <x:v>Сценарии · проверка устойчивости</x:v>
      </x:c>
      <x:c r="B1" s="4"/>
      <x:c r="C1" s="4"/>
      <x:c r="D1" s="4"/>
    </x:row>
    <x:row r="2" ht="25" customHeight="1">
      <x:c r="A2" s="4"/>
      <x:c r="B2" s="4"/>
      <x:c r="C2" s="4"/>
      <x:c r="D2" s="4"/>
    </x:row>
    <x:row r="3" ht="27" customHeight="1">
      <x:c r="A3" s="2"/>
      <x:c r="B3" s="2"/>
      <x:c r="C3" s="2"/>
      <x:c r="D3" s="2"/>
    </x:row>
    <x:row r="4" ht="38" customHeight="1">
      <x:c r="A4" s="6" t="str">
        <x:v>Три набора гипотез. Столбцы рассчитываются независимо от выбранного сценария.</x:v>
      </x:c>
      <x:c r="B4" s="6"/>
      <x:c r="C4" s="6"/>
      <x:c r="D4" s="6"/>
    </x:row>
    <x:row r="5" ht="27" customHeight="1">
      <x:c r="A5" s="2"/>
      <x:c r="B5" s="2"/>
      <x:c r="C5" s="2"/>
      <x:c r="D5" s="2"/>
    </x:row>
    <x:row r="6" ht="38" customHeight="1">
      <x:c r="A6" s="9" t="str">
        <x:v>Показатель</x:v>
      </x:c>
      <x:c r="B6" s="9" t="str">
        <x:v>База</x:v>
      </x:c>
      <x:c r="C6" s="9" t="str">
        <x:v>Осторожный</x:v>
      </x:c>
      <x:c r="D6" s="9" t="str">
        <x:v>Рост</x:v>
      </x:c>
    </x:row>
    <x:row r="7" ht="27" customHeight="1">
      <x:c r="A7" s="2" t="str">
        <x:v>Цена / месяц, ₽</x:v>
      </x:c>
      <x:c r="B7" s="11" t="n">
        <x:f>'Допущения'!B7</x:f>
        <x:v>49000</x:v>
      </x:c>
      <x:c r="C7" s="11" t="n">
        <x:f>'Допущения'!C7</x:f>
        <x:v>39000</x:v>
      </x:c>
      <x:c r="D7" s="11" t="n">
        <x:f>'Допущения'!D7</x:f>
        <x:v>59000</x:v>
      </x:c>
    </x:row>
    <x:row r="8" ht="27" customHeight="1">
      <x:c r="A8" s="2" t="str">
        <x:v>COGS / месяц, ₽</x:v>
      </x:c>
      <x:c r="B8" s="11" t="n">
        <x:f>'Допущения'!B10*'Допущения'!B11*('Допущения'!B12*'Допущения'!B16+'Допущения'!B13*'Допущения'!B17)/1000000*'Допущения'!B15*'Допущения'!B14*(1+'Допущения'!B18)+'Допущения'!B19+'Допущения'!B20+'Допущения'!B21*'Допущения'!B22+'Допущения'!B23*'Допущения'!B24+'Допущения'!B7*'Допущения'!B25</x:f>
        <x:v>11626.904625</x:v>
      </x:c>
      <x:c r="C8" s="11" t="n">
        <x:f>'Допущения'!C10*'Допущения'!C11*('Допущения'!C12*'Допущения'!C16+'Допущения'!C13*'Допущения'!C17)/1000000*'Допущения'!C15*'Допущения'!C14*(1+'Допущения'!C18)+'Допущения'!C19+'Допущения'!C20+'Допущения'!C21*'Допущения'!C22+'Допущения'!C23*'Допущения'!C24+'Допущения'!C7*'Допущения'!C25</x:f>
        <x:v>24551.56</x:v>
      </x:c>
      <x:c r="D8" s="11" t="n">
        <x:f>'Допущения'!D10*'Допущения'!D11*('Допущения'!D12*'Допущения'!D16+'Допущения'!D13*'Допущения'!D17)/1000000*'Допущения'!D15*'Допущения'!D14*(1+'Допущения'!D18)+'Допущения'!D19+'Допущения'!D20+'Допущения'!D21*'Допущения'!D22+'Допущения'!D23*'Допущения'!D24+'Допущения'!D7*'Допущения'!D25</x:f>
        <x:v>14756.208625</x:v>
      </x:c>
    </x:row>
    <x:row r="9" ht="27" customHeight="1">
      <x:c r="A9" s="2" t="str">
        <x:v>Валовой вклад / месяц, ₽</x:v>
      </x:c>
      <x:c r="B9" s="11" t="n">
        <x:f>B7-B8</x:f>
        <x:v>37373.095375000004</x:v>
      </x:c>
      <x:c r="C9" s="11" t="n">
        <x:f>C7-C8</x:f>
        <x:v>14448.439999999999</x:v>
      </x:c>
      <x:c r="D9" s="11" t="n">
        <x:f>D7-D8</x:f>
        <x:v>44243.791375</x:v>
      </x:c>
    </x:row>
    <x:row r="10" ht="27" customHeight="1">
      <x:c r="A10" s="2" t="str">
        <x:v>Валовая маржа</x:v>
      </x:c>
      <x:c r="B10" s="19" t="n">
        <x:f>IFERROR(B9/B7,0)</x:f>
        <x:v>0.7627162321428572</x:v>
      </x:c>
      <x:c r="C10" s="19" t="n">
        <x:f>IFERROR(C9/C7,0)</x:f>
        <x:v>0.3704728205128205</x:v>
      </x:c>
      <x:c r="D10" s="19" t="n">
        <x:f>IFERROR(D9/D7,0)</x:f>
        <x:v>0.7498947690677966</x:v>
      </x:c>
    </x:row>
    <x:row r="11" ht="27" customHeight="1">
      <x:c r="A11" s="2" t="str">
        <x:v>CAC, ₽</x:v>
      </x:c>
      <x:c r="B11" s="11" t="n">
        <x:f>IFERROR('Допущения'!B33/('Допущения'!B30*'Допущения'!B31),0)</x:f>
        <x:v>120000</x:v>
      </x:c>
      <x:c r="C11" s="11" t="n">
        <x:f>IFERROR('Допущения'!C33/('Допущения'!C30*'Допущения'!C31),0)</x:f>
        <x:v>416666.6666666667</x:v>
      </x:c>
      <x:c r="D11" s="11" t="n">
        <x:f>IFERROR('Допущения'!D33/('Допущения'!D30*'Допущения'!D31),0)</x:f>
        <x:v>62500</x:v>
      </x:c>
    </x:row>
    <x:row r="12" ht="27" customHeight="1">
      <x:c r="A12" s="2" t="str">
        <x:v>Payback CAC, мес.</x:v>
      </x:c>
      <x:c r="B12" s="23" t="n">
        <x:f>IF(B9&gt;0,B11/B9,0)</x:f>
        <x:v>3.210865966437226</x:v>
      </x:c>
      <x:c r="C12" s="23" t="n">
        <x:f>IF(C9&gt;0,C11/C9,0)</x:f>
        <x:v>28.838176762797</x:v>
      </x:c>
      <x:c r="D12" s="23" t="n">
        <x:f>IF(D9&gt;0,D11/D9,0)</x:f>
        <x:v>1.412627581354063</x:v>
      </x:c>
    </x:row>
    <x:row r="13" ht="27" customHeight="1">
      <x:c r="A13" s="2" t="str">
        <x:v>LTV 24, ₽</x:v>
      </x:c>
      <x:c r="B13" s="11" t="n">
        <x:f>IF('Допущения'!B26=0,B9*'Допущения'!B27,B9*(1-(1-'Допущения'!B26)^'Допущения'!B27)/'Допущения'!B26)</x:f>
        <x:v>757985.8208266246</x:v>
      </x:c>
      <x:c r="C13" s="11" t="n">
        <x:f>IF('Допущения'!C26=0,C9*'Допущения'!C27,C9*(1-(1-'Допущения'!C26)^'Допущения'!C27)/'Допущения'!C26)</x:f>
        <x:v>249757.0718080593</x:v>
      </x:c>
      <x:c r="D13" s="11" t="n">
        <x:f>IF('Допущения'!D26=0,D9*'Допущения'!D27,D9*(1-(1-'Допущения'!D26)^'Допущения'!D27)/'Допущения'!D26)</x:f>
        <x:v>948241.1625227539</x:v>
      </x:c>
    </x:row>
    <x:row r="14" ht="27" customHeight="1">
      <x:c r="A14" s="2" t="str">
        <x:v>LTV / CAC, ×</x:v>
      </x:c>
      <x:c r="B14" s="23" t="n">
        <x:f>IFERROR(B13/B11,0)</x:f>
        <x:v>6.316548506888538</x:v>
      </x:c>
      <x:c r="C14" s="23" t="n">
        <x:f>IFERROR(C13/C11,0)</x:f>
        <x:v>0.5994169723393423</x:v>
      </x:c>
      <x:c r="D14" s="23" t="n">
        <x:f>IFERROR(D13/D11,0)</x:f>
        <x:v>15.171858600364063</x:v>
      </x:c>
    </x:row>
    <x:row r="15" ht="27" customHeight="1">
      <x:c r="A15" s="2" t="str">
        <x:v>Fixed OPEX, ₽</x:v>
      </x:c>
      <x:c r="B15" s="11" t="n">
        <x:f>SUM('Допущения'!B36:B39)</x:f>
        <x:v>385000</x:v>
      </x:c>
      <x:c r="C15" s="11" t="n">
        <x:f>SUM('Допущения'!C36:C39)</x:f>
        <x:v>400000</x:v>
      </x:c>
      <x:c r="D15" s="11" t="n">
        <x:f>SUM('Допущения'!D36:D39)</x:f>
        <x:v>545000</x:v>
      </x:c>
    </x:row>
    <x:row r="16" ht="27" customHeight="1">
      <x:c r="A16" s="2" t="str">
        <x:v>Безубыточность с заменой оттока</x:v>
      </x:c>
      <x:c r="B16" s="11" t="n">
        <x:f>IF(B9-'Допущения'!B26*B11&gt;0,ROUNDUP(B15/(B9-'Допущения'!B26*B11),0),0)</x:f>
        <x:v>11</x:v>
      </x:c>
      <x:c r="C16" s="11" t="n">
        <x:f>IF(C9-'Допущения'!C26*C11&gt;0,ROUNDUP(C15/(C9-'Допущения'!C26*C11),0),0)</x:f>
        <x:v>206</x:v>
      </x:c>
      <x:c r="D16" s="11" t="n">
        <x:f>IF(D9-'Допущения'!D26*D11&gt;0,ROUNDUP(D15/(D9-'Допущения'!D26*D11),0),0)</x:f>
        <x:v>13</x:v>
      </x:c>
    </x:row>
    <x:row r="17" ht="27" customHeight="1">
      <x:c r="A17" s="2" t="str">
        <x:v>Применимость</x:v>
      </x:c>
      <x:c r="B17" s="11" t="str">
        <x:f>IF(AND(B9&gt;0,B11&gt;0),"Применим","Проверьте ввод")</x:f>
        <x:v>Применим</x:v>
      </x:c>
      <x:c r="C17" s="11" t="str">
        <x:f>IF(AND(C9&gt;0,C11&gt;0),"Применим","Проверьте ввод")</x:f>
        <x:v>Применим</x:v>
      </x:c>
      <x:c r="D17" s="11" t="str">
        <x:f>IF(AND(D9&gt;0,D11&gt;0),"Применим","Проверьте ввод")</x:f>
        <x:v>Применим</x:v>
      </x:c>
    </x:row>
    <x:row r="18" ht="27" customHeight="1">
      <x:c r="A18" s="2"/>
      <x:c r="B18" s="2"/>
      <x:c r="C18" s="2"/>
      <x:c r="D18" s="2"/>
    </x:row>
    <x:row r="19" ht="27" customHeight="1">
      <x:c r="A19" s="2"/>
      <x:c r="B19" s="2"/>
      <x:c r="C19" s="2"/>
      <x:c r="D19" s="2"/>
    </x:row>
    <x:row r="20" ht="42" customHeight="1">
      <x:c r="A20" s="6" t="str">
        <x:v>Чувствительность: цена и часы поддержки. Ниже — валовой вклад на договор в месяц, ₽; остальные параметры активного сценария.</x:v>
      </x:c>
      <x:c r="B20" s="6"/>
      <x:c r="C20" s="6"/>
      <x:c r="D20" s="6"/>
    </x:row>
    <x:row r="21" ht="27" customHeight="1">
      <x:c r="A21" s="2"/>
      <x:c r="B21" s="2"/>
      <x:c r="C21" s="2"/>
      <x:c r="D21" s="2"/>
    </x:row>
    <x:row r="22" ht="38" customHeight="1">
      <x:c r="A22" s="9" t="str">
        <x:v>Цена / часы поддержки</x:v>
      </x:c>
      <x:c r="B22" s="9" t="n">
        <x:v>2</x:v>
      </x:c>
      <x:c r="C22" s="9" t="n">
        <x:v>4</x:v>
      </x:c>
      <x:c r="D22" s="9" t="n">
        <x:v>6</x:v>
      </x:c>
    </x:row>
    <x:row r="23" ht="27" customHeight="1">
      <x:c r="A23" s="40" t="n">
        <x:v>39000</x:v>
      </x:c>
      <x:c r="B23" s="11" t="n">
        <x:f>$A23*(1-'Допущения'!$E$25)-('Unit-экономика'!$B$15-'Unit-экономика'!$B$12-'Unit-экономика'!$B$14)-B$22*'Допущения'!$E$22</x:f>
        <x:v>27473.095375</x:v>
      </x:c>
      <x:c r="C23" s="11" t="n">
        <x:f>$A23*(1-'Допущения'!$E$25)-('Unit-экономика'!$B$15-'Unit-экономика'!$B$12-'Unit-экономика'!$B$14)-C$22*'Допущения'!$E$22</x:f>
        <x:v>24473.095375</x:v>
      </x:c>
      <x:c r="D23" s="11" t="n">
        <x:f>$A23*(1-'Допущения'!$E$25)-('Unit-экономика'!$B$15-'Unit-экономика'!$B$12-'Unit-экономика'!$B$14)-D$22*'Допущения'!$E$22</x:f>
        <x:v>21473.095375</x:v>
      </x:c>
    </x:row>
    <x:row r="24" ht="27" customHeight="1">
      <x:c r="A24" s="40" t="n">
        <x:v>49000</x:v>
      </x:c>
      <x:c r="B24" s="11" t="n">
        <x:f>$A24*(1-'Допущения'!$E$25)-('Unit-экономика'!$B$15-'Unit-экономика'!$B$12-'Unit-экономика'!$B$14)-B$22*'Допущения'!$E$22</x:f>
        <x:v>37373.095375000004</x:v>
      </x:c>
      <x:c r="C24" s="11" t="n">
        <x:f>$A24*(1-'Допущения'!$E$25)-('Unit-экономика'!$B$15-'Unit-экономика'!$B$12-'Unit-экономика'!$B$14)-C$22*'Допущения'!$E$22</x:f>
        <x:v>34373.095375000004</x:v>
      </x:c>
      <x:c r="D24" s="11" t="n">
        <x:f>$A24*(1-'Допущения'!$E$25)-('Unit-экономика'!$B$15-'Unit-экономика'!$B$12-'Unit-экономика'!$B$14)-D$22*'Допущения'!$E$22</x:f>
        <x:v>31373.095375000004</x:v>
      </x:c>
    </x:row>
    <x:row r="25" ht="27" customHeight="1">
      <x:c r="A25" s="40" t="n">
        <x:v>59000</x:v>
      </x:c>
      <x:c r="B25" s="11" t="n">
        <x:f>$A25*(1-'Допущения'!$E$25)-('Unit-экономика'!$B$15-'Unit-экономика'!$B$12-'Unit-экономика'!$B$14)-B$22*'Допущения'!$E$22</x:f>
        <x:v>47273.095375000004</x:v>
      </x:c>
      <x:c r="C25" s="11" t="n">
        <x:f>$A25*(1-'Допущения'!$E$25)-('Unit-экономика'!$B$15-'Unit-экономика'!$B$12-'Unit-экономика'!$B$14)-C$22*'Допущения'!$E$22</x:f>
        <x:v>44273.095375000004</x:v>
      </x:c>
      <x:c r="D25" s="11" t="n">
        <x:f>$A25*(1-'Допущения'!$E$25)-('Unit-экономика'!$B$15-'Unit-экономика'!$B$12-'Unit-экономика'!$B$14)-D$22*'Допущения'!$E$22</x:f>
        <x:v>41273.095375000004</x:v>
      </x:c>
    </x:row>
    <x:row r="26" ht="27" customHeight="1">
      <x:c r="A26" s="2"/>
      <x:c r="B26" s="2"/>
      <x:c r="C26" s="2"/>
      <x:c r="D26" s="2"/>
    </x:row>
    <x:row r="27" ht="27" customHeight="1">
      <x:c r="A27" s="2"/>
      <x:c r="B27" s="2"/>
      <x:c r="C27" s="2"/>
      <x:c r="D27" s="2"/>
    </x:row>
    <x:row r="28" ht="42" customHeight="1">
      <x:c r="A28" s="6" t="str">
        <x:v>Высокий LTV/CAC может быть результатом оптимистичной воронки и оттока. Это гипотеза для проверки, а не доказанная инвестиционная метрика.</x:v>
      </x:c>
      <x:c r="B28" s="6"/>
      <x:c r="C28" s="6"/>
      <x:c r="D28" s="6"/>
    </x:row>
    <x:row r="29" ht="27" customHeight="1">
      <x:c r="A29" s="2"/>
      <x:c r="B29" s="2"/>
      <x:c r="C29" s="2"/>
      <x:c r="D29" s="2"/>
    </x:row>
    <x:row r="30" ht="27" customHeight="1">
      <x:c r="A30" s="2"/>
      <x:c r="B30" s="2"/>
      <x:c r="C30" s="2"/>
      <x:c r="D30" s="2"/>
    </x:row>
    <x:row r="31" ht="27" customHeight="1">
      <x:c r="A31" s="2"/>
      <x:c r="B31" s="2"/>
      <x:c r="C31" s="2"/>
      <x:c r="D31" s="2"/>
    </x:row>
    <x:row r="32" ht="27" customHeight="1">
      <x:c r="A32" s="2"/>
      <x:c r="B32" s="2"/>
      <x:c r="C32" s="2"/>
      <x:c r="D32" s="2"/>
    </x:row>
    <x:row r="33" ht="27" customHeight="1">
      <x:c r="A33" s="2"/>
      <x:c r="B33" s="2"/>
      <x:c r="C33" s="2"/>
      <x:c r="D33" s="2"/>
    </x:row>
    <x:row r="34" ht="27" customHeight="1">
      <x:c r="A34" s="2"/>
      <x:c r="B34" s="2"/>
      <x:c r="C34" s="2"/>
      <x:c r="D34" s="2"/>
    </x:row>
    <x:row r="35" ht="27" customHeight="1">
      <x:c r="A35" s="2"/>
      <x:c r="B35" s="2"/>
      <x:c r="C35" s="2"/>
      <x:c r="D35" s="2"/>
    </x:row>
  </x:sheetData>
  <x:mergeCells>
    <x:mergeCell ref="A1:D2"/>
    <x:mergeCell ref="A4:D4"/>
    <x:mergeCell ref="A20:D20"/>
    <x:mergeCell ref="A28:D28"/>
  </x:mergeCells>
  <x:conditionalFormatting sqref="B23:D25">
    <x:cfRule type="colorScale" priority="1">
      <x:colorScale>
        <x:cfvo type="min"/>
        <x:cfvo type="percentile" val="50"/>
        <x:cfvo type="max"/>
        <x:color rgb="FFF4DDD5"/>
        <x:color rgb="FFF1F3EA"/>
        <x:color rgb="FF7CBAAA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8" hidden="0" customWidth="1"/>
    <x:col min="3" max="3" width="18" hidden="0" customWidth="1"/>
    <x:col min="4" max="4" width="6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4" t="str">
        <x:v>Ценность для клиента · время команды</x:v>
      </x:c>
      <x:c r="B1" s="4"/>
      <x:c r="C1" s="4"/>
      <x:c r="D1" s="4"/>
    </x:row>
    <x:row r="2" ht="25" customHeight="1">
      <x:c r="A2" s="4"/>
      <x:c r="B2" s="4"/>
      <x:c r="C2" s="4"/>
      <x:c r="D2" s="4"/>
    </x:row>
    <x:row r="3" ht="27" customHeight="1">
      <x:c r="A3" s="2"/>
      <x:c r="B3" s="2"/>
      <x:c r="C3" s="2"/>
      <x:c r="D3" s="2"/>
    </x:row>
    <x:row r="4" ht="38" customHeight="1">
      <x:c r="A4" s="6" t="str">
        <x:v>Модель высвобожденной мощности. Экономия часов не означает автоматического снижения зарплат или роста выручки.</x:v>
      </x:c>
      <x:c r="B4" s="6"/>
      <x:c r="C4" s="6"/>
      <x:c r="D4" s="6"/>
    </x:row>
    <x:row r="5" ht="27" customHeight="1">
      <x:c r="A5" s="2"/>
      <x:c r="B5" s="2"/>
      <x:c r="C5" s="2"/>
      <x:c r="D5" s="2"/>
    </x:row>
    <x:row r="6" ht="38" customHeight="1">
      <x:c r="A6" s="9" t="str">
        <x:v>Показатель</x:v>
      </x:c>
      <x:c r="B6" s="9" t="str">
        <x:v>Значение</x:v>
      </x:c>
      <x:c r="C6" s="9" t="str">
        <x:v>Единица</x:v>
      </x:c>
      <x:c r="D6" s="9" t="str">
        <x:v>Основание</x:v>
      </x:c>
    </x:row>
    <x:row r="7" ht="40" customHeight="1">
      <x:c r="A7" s="15" t="str">
        <x:v>Пользователи команды</x:v>
      </x:c>
      <x:c r="B7" s="16" t="n">
        <x:v>5</x:v>
      </x:c>
      <x:c r="C7" s="15" t="str">
        <x:v>человек</x:v>
      </x:c>
      <x:c r="D7" s="15" t="str">
        <x:v>Гипотеза стандартной команды</x:v>
      </x:c>
    </x:row>
    <x:row r="8" ht="40" customHeight="1">
      <x:c r="A8" s="15" t="str">
        <x:v>Сэкономленное время</x:v>
      </x:c>
      <x:c r="B8" s="16" t="n">
        <x:v>30</x:v>
      </x:c>
      <x:c r="C8" s="15" t="str">
        <x:v>минут / день</x:v>
      </x:c>
      <x:c r="D8" s="15" t="str">
        <x:v>Измерить до и после пилота</x:v>
      </x:c>
    </x:row>
    <x:row r="9" ht="40" customHeight="1">
      <x:c r="A9" s="15" t="str">
        <x:v>Рабочие дни</x:v>
      </x:c>
      <x:c r="B9" s="16" t="n">
        <x:v>22</x:v>
      </x:c>
      <x:c r="C9" s="15" t="str">
        <x:v>дня / месяц</x:v>
      </x:c>
      <x:c r="D9" s="15" t="str">
        <x:v>Плановая оценка</x:v>
      </x:c>
    </x:row>
    <x:row r="10" ht="40" customHeight="1">
      <x:c r="A10" s="15" t="str">
        <x:v>Стоимость рабочего часа</x:v>
      </x:c>
      <x:c r="B10" s="16" t="n">
        <x:v>2000</x:v>
      </x:c>
      <x:c r="C10" s="15" t="str">
        <x:v>₽ / час</x:v>
      </x:c>
      <x:c r="D10" s="15" t="str">
        <x:v>Полная стоимость, гипотеза клиента</x:v>
      </x:c>
    </x:row>
    <x:row r="11" ht="40" customHeight="1">
      <x:c r="A11" s="15" t="str">
        <x:v>Полезно использованная доля</x:v>
      </x:c>
      <x:c r="B11" s="20" t="n">
        <x:v>0.6</x:v>
      </x:c>
      <x:c r="C11" s="15" t="str">
        <x:v>%</x:v>
      </x:c>
      <x:c r="D11" s="15" t="str">
        <x:v>Часть времени, которую удалось перераспределить</x:v>
      </x:c>
    </x:row>
    <x:row r="12" ht="40" customHeight="1">
      <x:c r="A12" s="15" t="str">
        <x:v>Высвобождено часов</x:v>
      </x:c>
      <x:c r="B12" s="43" t="n">
        <x:f>B7*B8*B9/60</x:f>
        <x:v>55</x:v>
      </x:c>
      <x:c r="C12" s="15" t="str">
        <x:v>часов / месяц</x:v>
      </x:c>
      <x:c r="D12" s="15" t="str">
        <x:v>Пользователи × минуты × дни / 60</x:v>
      </x:c>
    </x:row>
    <x:row r="13" ht="40" customHeight="1">
      <x:c r="A13" s="15" t="str">
        <x:v>Оценка полезной мощности</x:v>
      </x:c>
      <x:c r="B13" s="17" t="n">
        <x:f>B12*B10*B11</x:f>
        <x:v>66000</x:v>
      </x:c>
      <x:c r="C13" s="15" t="str">
        <x:v>₽ / месяц</x:v>
      </x:c>
      <x:c r="D13" s="15" t="str">
        <x:v>Часы × стоимость × реализация</x:v>
      </x:c>
    </x:row>
    <x:row r="14" ht="40" customHeight="1">
      <x:c r="A14" s="15" t="str">
        <x:v>Подписка</x:v>
      </x:c>
      <x:c r="B14" s="17" t="n">
        <x:f>'Допущения'!$E$7</x:f>
        <x:v>49000</x:v>
      </x:c>
      <x:c r="C14" s="15" t="str">
        <x:v>₽ / месяц</x:v>
      </x:c>
      <x:c r="D14" s="15" t="str">
        <x:v>Активный сценарий Team</x:v>
      </x:c>
    </x:row>
    <x:row r="15" ht="40" customHeight="1">
      <x:c r="A15" s="15" t="str">
        <x:v>Чистая оценка пользы</x:v>
      </x:c>
      <x:c r="B15" s="17" t="n">
        <x:f>B13-B14</x:f>
        <x:v>17000</x:v>
      </x:c>
      <x:c r="C15" s="15" t="str">
        <x:v>₽ / месяц</x:v>
      </x:c>
      <x:c r="D15" s="15" t="str">
        <x:v>Оценка мощности минус подписка</x:v>
      </x:c>
    </x:row>
    <x:row r="16" ht="40" customHeight="1">
      <x:c r="A16" s="15" t="str">
        <x:v>Польза / стоимость</x:v>
      </x:c>
      <x:c r="B16" s="43" t="n">
        <x:f>IFERROR(B13/B14,0)</x:f>
        <x:v>1.346938775510204</x:v>
      </x:c>
      <x:c r="C16" s="15" t="str">
        <x:v>×</x:v>
      </x:c>
      <x:c r="D16" s="15" t="str">
        <x:v>Не финансовая доходность инвестиции</x:v>
      </x:c>
    </x:row>
    <x:row r="17" ht="40" customHeight="1">
      <x:c r="A17" s="15" t="str">
        <x:v>Минимум экономии в день</x:v>
      </x:c>
      <x:c r="B17" s="43" t="n">
        <x:f>IFERROR(B14/(B7*B9*B10*B11)*60,0)</x:f>
        <x:v>22.272727272727273</x:v>
      </x:c>
      <x:c r="C17" s="15" t="str">
        <x:v>минут / человек</x:v>
      </x:c>
      <x:c r="D17" s="15" t="str">
        <x:v>Порог оправданности цены по времени</x:v>
      </x:c>
    </x:row>
    <x:row r="18" ht="27" customHeight="1">
      <x:c r="A18" s="2"/>
      <x:c r="B18" s="2"/>
      <x:c r="C18" s="2"/>
      <x:c r="D18" s="2"/>
    </x:row>
    <x:row r="19" ht="27" customHeight="1">
      <x:c r="A19" s="2"/>
      <x:c r="B19" s="2"/>
      <x:c r="C19" s="2"/>
      <x:c r="D19" s="2"/>
    </x:row>
    <x:row r="20" ht="42" customHeight="1">
      <x:c r="A20" s="6" t="str">
        <x:v>Для пилота фиксировать одинаковый объём и качество мониторинга, время ручной проверки, долю применённых сигналов и фактическую активность пользователей.</x:v>
      </x:c>
      <x:c r="B20" s="6"/>
      <x:c r="C20" s="6"/>
      <x:c r="D20" s="6"/>
    </x:row>
    <x:row r="21" ht="27" customHeight="1">
      <x:c r="A21" s="2"/>
      <x:c r="B21" s="2"/>
      <x:c r="C21" s="2"/>
      <x:c r="D21" s="2"/>
    </x:row>
    <x:row r="22" ht="27" customHeight="1">
      <x:c r="A22" s="2"/>
      <x:c r="B22" s="2"/>
      <x:c r="C22" s="2"/>
      <x:c r="D22" s="2"/>
    </x:row>
    <x:row r="23" ht="27" customHeight="1">
      <x:c r="A23" s="2"/>
      <x:c r="B23" s="2"/>
      <x:c r="C23" s="2"/>
      <x:c r="D23" s="2"/>
    </x:row>
    <x:row r="24" ht="27" customHeight="1">
      <x:c r="A24" s="2"/>
      <x:c r="B24" s="2"/>
      <x:c r="C24" s="2"/>
      <x:c r="D24" s="2"/>
    </x:row>
  </x:sheetData>
  <x:mergeCells>
    <x:mergeCell ref="A1:D2"/>
    <x:mergeCell ref="A4:D4"/>
    <x:mergeCell ref="A20:D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5" hidden="0" customWidth="1"/>
    <x:col min="3" max="3" width="35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4" t="str">
        <x:v>Бизнес-модель · гипотеза для пилота</x:v>
      </x:c>
      <x:c r="B1" s="4"/>
      <x:c r="C1" s="4"/>
      <x:c r="D1" s="4"/>
    </x:row>
    <x:row r="2" ht="25" customHeight="1">
      <x:c r="A2" s="4"/>
      <x:c r="B2" s="4"/>
      <x:c r="C2" s="4"/>
      <x:c r="D2" s="4"/>
    </x:row>
    <x:row r="3" ht="27" customHeight="1">
      <x:c r="A3" s="2"/>
      <x:c r="B3" s="2"/>
      <x:c r="C3" s="2"/>
      <x:c r="D3" s="2"/>
    </x:row>
    <x:row r="4" ht="38" customHeight="1">
      <x:c r="A4" s="6" t="str">
        <x:v>Рабочий продукт уже есть; спрос, готовность платить и удержание требуют проверки.</x:v>
      </x:c>
      <x:c r="B4" s="6"/>
      <x:c r="C4" s="6"/>
      <x:c r="D4" s="6"/>
    </x:row>
    <x:row r="5" ht="27" customHeight="1">
      <x:c r="A5" s="2"/>
      <x:c r="B5" s="2"/>
      <x:c r="C5" s="2"/>
      <x:c r="D5" s="2"/>
    </x:row>
    <x:row r="6" ht="27" customHeight="1">
      <x:c r="A6" s="2"/>
      <x:c r="B6" s="2"/>
      <x:c r="C6" s="2"/>
      <x:c r="D6" s="2"/>
    </x:row>
    <x:row r="7" ht="58" customHeight="1">
      <x:c r="A7" s="45" t="str">
        <x:v>Клиент</x:v>
      </x:c>
      <x:c r="B7" s="45" t="str">
        <x:v>Продуктовая / аналитическая команда банка; первым сегментом выбрать платежи или малый бизнес.</x:v>
      </x:c>
      <x:c r="C7" s="45"/>
      <x:c r="D7" s="45"/>
    </x:row>
    <x:row r="8" ht="58" customHeight="1">
      <x:c r="A8" s="31" t="str">
        <x:v>Покупатель</x:v>
      </x:c>
      <x:c r="B8" s="31" t="str">
        <x:v>Руководитель продукта, стратегии или конкурентной аналитики. Пользователь — PM / аналитик.</x:v>
      </x:c>
      <x:c r="C8" s="31"/>
      <x:c r="D8" s="31"/>
    </x:row>
    <x:row r="9" ht="58" customHeight="1">
      <x:c r="A9" s="45" t="str">
        <x:v>Проблема</x:v>
      </x:c>
      <x:c r="B9" s="45" t="str">
        <x:v>Ручной сбор публикаций, повторяющиеся новости, потеря контекста и отсутствие следующего шага.</x:v>
      </x:c>
      <x:c r="C9" s="45"/>
      <x:c r="D9" s="45"/>
    </x:row>
    <x:row r="10" ht="58" customHeight="1">
      <x:c r="A10" s="31" t="str">
        <x:v>Ценность</x:v>
      </x:c>
      <x:c r="B10" s="31" t="str">
        <x:v>Карточка с источником, приоритетом, черновиком действий и решением аналитика; экспорт в рабочий процесс.</x:v>
      </x:c>
      <x:c r="C10" s="31"/>
      <x:c r="D10" s="31"/>
    </x:row>
    <x:row r="11" ht="58" customHeight="1">
      <x:c r="A11" s="45" t="str">
        <x:v>Единица продажи</x:v>
      </x:c>
      <x:c r="B11" s="45" t="str">
        <x:v>Договор на команду, базовый лимит 5 пользователей и 3 000 публикаций в месяц. Командные роли — следующий релиз.</x:v>
      </x:c>
      <x:c r="C11" s="45"/>
      <x:c r="D11" s="45"/>
    </x:row>
    <x:row r="12" ht="58" customHeight="1">
      <x:c r="A12" s="31" t="str">
        <x:v>Тарифы-гипотезы</x:v>
      </x:c>
      <x:c r="B12" s="31" t="str">
        <x:v>Пилот 45 000 ₽ / 4 недели; Team 49 000 ₽ / месяц; подключение 30 000 ₽. Enterprise от 149 000 ₽ / месяц после оценки требований.</x:v>
      </x:c>
      <x:c r="C12" s="31"/>
      <x:c r="D12" s="31"/>
    </x:row>
    <x:row r="13" ht="58" customHeight="1">
      <x:c r="A13" s="45" t="str">
        <x:v>Каналы</x:v>
      </x:c>
      <x:c r="B13" s="45" t="str">
        <x:v>Основатель → профильные руководители через акселератор; персональная демонстрация; отраслевые кейсы; партнёры.</x:v>
      </x:c>
      <x:c r="C13" s="45"/>
      <x:c r="D13" s="45"/>
    </x:row>
    <x:row r="14" ht="58" customHeight="1">
      <x:c r="A14" s="31" t="str">
        <x:v>Продажа</x:v>
      </x:c>
      <x:c r="B14" s="31" t="str">
        <x:v>Интервью → демо на публикациях клиента → платный пилот с KPI → годовой договор → расширение.</x:v>
      </x:c>
      <x:c r="C14" s="31"/>
      <x:c r="D14" s="31"/>
    </x:row>
    <x:row r="15" ht="58" customHeight="1">
      <x:c r="A15" s="45" t="str">
        <x:v>Отношения</x:v>
      </x:c>
      <x:c r="B15" s="45" t="str">
        <x:v>Еженедельный разбор пилота, настройка контекста, обучение, ежемесячный review полезности.</x:v>
      </x:c>
      <x:c r="C15" s="45"/>
      <x:c r="D15" s="45"/>
    </x:row>
    <x:row r="16" ht="58" customHeight="1">
      <x:c r="A16" s="31" t="str">
        <x:v>Ключевые действия</x:v>
      </x:c>
      <x:c r="B16" s="31" t="str">
        <x:v>Поддержка источников, контроль качества, безопасность, интервью и продажи, развитие продукта.</x:v>
      </x:c>
      <x:c r="C16" s="31"/>
      <x:c r="D16" s="31"/>
    </x:row>
    <x:row r="17" ht="58" customHeight="1">
      <x:c r="A17" s="45" t="str">
        <x:v>Ресурсы</x:v>
      </x:c>
      <x:c r="B17" s="45" t="str">
        <x:v>Код, карта источников, оценённые примеры и обратная связь. Данные лицензируются при необходимости.</x:v>
      </x:c>
      <x:c r="C17" s="45"/>
      <x:c r="D17" s="45"/>
    </x:row>
    <x:row r="18" ht="58" customHeight="1">
      <x:c r="A18" s="31" t="str">
        <x:v>Партнёры</x:v>
      </x:c>
      <x:c r="B18" s="31" t="str">
        <x:v>Поставщик LLM, инфраструктура, правообладатели контента, пилотные команды; договорённостей пока нет.</x:v>
      </x:c>
      <x:c r="C18" s="31"/>
      <x:c r="D18" s="31"/>
    </x:row>
    <x:row r="19" ht="58" customHeight="1">
      <x:c r="A19" s="45" t="str">
        <x:v>Затраты</x:v>
      </x:c>
      <x:c r="B19" s="45" t="str">
        <x:v>COGS: ИИ, данные, поддержка, QA, инфраструктура. Отдельно CAC, продуктовая команда и запуск.</x:v>
      </x:c>
      <x:c r="C19" s="45"/>
      <x:c r="D19" s="45"/>
    </x:row>
    <x:row r="20" ht="58" customHeight="1">
      <x:c r="A20" s="31" t="str">
        <x:v>Защита позиции</x:v>
      </x:c>
      <x:c r="B20" s="31" t="str">
        <x:v>Накопленная разметка полезности, банковские сценарии и встроенность в работу. Не сам доступ к LLM.</x:v>
      </x:c>
      <x:c r="C20" s="31"/>
      <x:c r="D20" s="31"/>
    </x:row>
    <x:row r="21" ht="58" customHeight="1">
      <x:c r="A21" s="45" t="str">
        <x:v>Критерий следующей инвестиции</x:v>
      </x:c>
      <x:c r="B21" s="45" t="str">
        <x:v>3 платных пилота, минимум 1 подписка, подтверждённая экономия времени, измеренный COGS и понятная закупка.</x:v>
      </x:c>
      <x:c r="C21" s="45"/>
      <x:c r="D21" s="45"/>
    </x:row>
    <x:row r="22" ht="27" customHeight="1">
      <x:c r="A22" s="2"/>
      <x:c r="B22" s="2"/>
      <x:c r="C22" s="2"/>
      <x:c r="D22" s="2"/>
    </x:row>
    <x:row r="23" ht="27" customHeight="1">
      <x:c r="A23" s="2"/>
      <x:c r="B23" s="2"/>
      <x:c r="C23" s="2"/>
      <x:c r="D23" s="2"/>
    </x:row>
    <x:row r="24" ht="27" customHeight="1">
      <x:c r="A24" s="2"/>
      <x:c r="B24" s="2"/>
      <x:c r="C24" s="2"/>
      <x:c r="D24" s="2"/>
    </x:row>
    <x:row r="25" ht="27" customHeight="1">
      <x:c r="A25" s="2"/>
      <x:c r="B25" s="2"/>
      <x:c r="C25" s="2"/>
      <x:c r="D25" s="2"/>
    </x:row>
  </x:sheetData>
  <x:mergeCells>
    <x:mergeCell ref="A1:D2"/>
    <x:mergeCell ref="A4:D4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B21:D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2" hidden="0" customWidth="1"/>
    <x:col min="3" max="3" width="87" hidden="0" customWidth="1"/>
    <x:col min="4" max="4" width="65" hidden="0" customWidth="1"/>
    <x:col min="5" max="5" width="17" hidden="0" customWidth="1"/>
    <x:col min="6" max="6" width="18" hidden="0" customWidth="1"/>
    <x:col min="7" max="7" width="18" hidden="0" customWidth="1"/>
  </x:cols>
  <x:sheetData>
    <x:row r="1" ht="25" customHeight="1">
      <x:c r="A1" s="4" t="str">
        <x:v>Источники и статус данных</x:v>
      </x:c>
      <x:c r="B1" s="4"/>
      <x:c r="C1" s="4"/>
      <x:c r="D1" s="4"/>
      <x:c r="E1" s="4"/>
    </x:row>
    <x:row r="2" ht="25" customHeight="1">
      <x:c r="A2" s="4"/>
      <x:c r="B2" s="4"/>
      <x:c r="C2" s="4"/>
      <x:c r="D2" s="4"/>
      <x:c r="E2" s="4"/>
    </x:row>
    <x:row r="3" ht="27" customHeight="1">
      <x:c r="A3" s="2"/>
      <x:c r="B3" s="2"/>
      <x:c r="C3" s="2"/>
      <x:c r="D3" s="2"/>
      <x:c r="E3" s="2"/>
    </x:row>
    <x:row r="4" ht="38" customHeight="1">
      <x:c r="A4" s="6" t="str">
        <x:v>Проверено 05.09.2026. Факты из кода, внешние ориентиры и авторские допущения разделены.</x:v>
      </x:c>
      <x:c r="B4" s="6"/>
      <x:c r="C4" s="6"/>
      <x:c r="D4" s="6"/>
      <x:c r="E4" s="6"/>
    </x:row>
    <x:row r="5" ht="27" customHeight="1">
      <x:c r="A5" s="2"/>
      <x:c r="B5" s="2"/>
      <x:c r="C5" s="2"/>
      <x:c r="D5" s="2"/>
      <x:c r="E5" s="2"/>
    </x:row>
    <x:row r="6" ht="38" customHeight="1">
      <x:c r="A6" s="9" t="str">
        <x:v>Объект</x:v>
      </x:c>
      <x:c r="B6" s="9" t="str">
        <x:v>Статус</x:v>
      </x:c>
      <x:c r="C6" s="9" t="str">
        <x:v>Источник / ссылка</x:v>
      </x:c>
      <x:c r="D6" s="9" t="str">
        <x:v>Как используется</x:v>
      </x:c>
      <x:c r="E6" s="9" t="str">
        <x:v>Дата</x:v>
      </x:c>
    </x:row>
    <x:row r="7" ht="64" customHeight="1">
      <x:c r="A7" s="15" t="str">
        <x:v>Функциональность исходного проекта</x:v>
      </x:c>
      <x:c r="B7" s="15" t="str">
        <x:v>Проверено по файлу</x:v>
      </x:c>
      <x:c r="C7" s="15" t="str">
        <x:v>Alpha-Girls-Team-main.zip → TrendWatcher.py</x:v>
      </x:c>
      <x:c r="D7" s="15" t="str">
        <x:v>Streamlit, 34 записи источников, формула score. Количество живых источников не подтверждено.</x:v>
      </x:c>
      <x:c r="E7" s="15" t="str">
        <x:v>2026-09-05</x:v>
      </x:c>
    </x:row>
    <x:row r="8" ht="64" customHeight="1">
      <x:c r="A8" s="15" t="str">
        <x:v>Описание и показатели проекта</x:v>
      </x:c>
      <x:c r="B8" s="15" t="str">
        <x:v>Заявления автора</x:v>
      </x:c>
      <x:c r="C8" s="15" t="str">
        <x:v>TrendWatcher_Defense_Prep.docx</x:v>
      </x:c>
      <x:c r="D8" s="15" t="str">
        <x:v>387 → 163 → 120 и стоимость прогона не принимаются за независимо проверенные метрики.</x:v>
      </x:c>
      <x:c r="E8" s="15" t="str">
        <x:v>2026-09-05</x:v>
      </x:c>
    </x:row>
    <x:row r="9" ht="64" customHeight="1">
      <x:c r="A9" s="15" t="str">
        <x:v>Кейс и критерии</x:v>
      </x:c>
      <x:c r="B9" s="15" t="str">
        <x:v>Предоставленный документ</x:v>
      </x:c>
      <x:c r="C9" s="15" t="str">
        <x:v>Трендвотчер_по_финтех_публикациям.pdf</x:v>
      </x:c>
      <x:c r="D9" s="15" t="str">
        <x:v>Приоритет: работающий цикл, качество отбора, полезность, проверяемость.</x:v>
      </x:c>
      <x:c r="E9" s="15" t="str">
        <x:v>2026-09-05</x:v>
      </x:c>
    </x:row>
    <x:row r="10" ht="64" customHeight="1">
      <x:c r="A10" s="15" t="str">
        <x:v>Цена GPT-4o-mini</x:v>
      </x:c>
      <x:c r="B10" s="15" t="str">
        <x:v>Официальный каталог</x:v>
      </x:c>
      <x:c r="C10" s="15" t="str">
        <x:v>https://openrouter.ai/openai/gpt-4o-mini</x:v>
      </x:c>
      <x:c r="D10" s="15" t="str">
        <x:v>0.15 USD / млн входных и 0.60 USD / млн выходных токенов; отдельный бюджетный резерв.</x:v>
      </x:c>
      <x:c r="E10" s="15" t="str">
        <x:v>2026-09-05</x:v>
      </x:c>
    </x:row>
    <x:row r="11" ht="64" customHeight="1">
      <x:c r="A11" s="15" t="str">
        <x:v>Feedly Market Intelligence</x:v>
      </x:c>
      <x:c r="B11" s="15" t="str">
        <x:v>Официальная цена</x:v>
      </x:c>
      <x:c r="C11" s="15" t="str">
        <x:v>https://feedly.com/market-intelligence/pricing</x:v>
      </x:c>
      <x:c r="D11" s="15" t="str">
        <x:v>Standard: 1 600 USD / месяц при годовой оплате, до 10 мест. Сравнение позиционирования, не доказательство спроса в РФ.</x:v>
      </x:c>
      <x:c r="E11" s="15" t="str">
        <x:v>2026-09-05</x:v>
      </x:c>
    </x:row>
    <x:row r="12" ht="64" customHeight="1">
      <x:c r="A12" s="15" t="str">
        <x:v>GigaChat: новые клиенты</x:v>
      </x:c>
      <x:c r="B12" s="15" t="str">
        <x:v>Официальная документация</x:v>
      </x:c>
      <x:c r="C12" s="15" t="str">
        <x:v>https://developers.sber.ru/docs/ru/gigachat/tariffs/legal-tariffs</x:v>
      </x:c>
      <x:c r="D12" s="15" t="str">
        <x:v>С 01.09.2026 новые клиенты направляются на Cloud.ru; старые тарифы не подставлены в расчёт MVP.</x:v>
      </x:c>
      <x:c r="E12" s="15" t="str">
        <x:v>2026-09-05</x:v>
      </x:c>
    </x:row>
    <x:row r="13" ht="64" customHeight="1">
      <x:c r="A13" s="15" t="str">
        <x:v>Cloud.ru: каталог моделей</x:v>
      </x:c>
      <x:c r="B13" s="15" t="str">
        <x:v>Официальный каталог</x:v>
      </x:c>
      <x:c r="C13" s="15" t="str">
        <x:v>https://cloud.ru/products/evolution-ai-factory/catalog-foundation-models</x:v>
      </x:c>
      <x:c r="D13" s="15" t="str">
        <x:v>Ориентир для российского пилота. Тариф и интеграция требуют отдельной проверки перед подключением.</x:v>
      </x:c>
      <x:c r="E13" s="15" t="str">
        <x:v>2026-09-05</x:v>
      </x:c>
    </x:row>
    <x:row r="14" ht="64" customHeight="1">
      <x:c r="A14" s="15" t="str">
        <x:v>СКАН-Интерфакс</x:v>
      </x:c>
      <x:c r="B14" s="15" t="str">
        <x:v>Официальный продукт</x:v>
      </x:c>
      <x:c r="C14" s="15" t="str">
        <x:v>https://scan-interfax.ru/media-monitoring/</x:v>
      </x:c>
      <x:c r="D14" s="15" t="str">
        <x:v>Альтернатива в мониторинге СМИ и рисков. Цена не предполагалась.</x:v>
      </x:c>
      <x:c r="E14" s="15" t="str">
        <x:v>2026-09-05</x:v>
      </x:c>
    </x:row>
    <x:row r="15" ht="64" customHeight="1">
      <x:c r="A15" s="15" t="str">
        <x:v>Медиалогия</x:v>
      </x:c>
      <x:c r="B15" s="15" t="str">
        <x:v>Официальный продукт</x:v>
      </x:c>
      <x:c r="C15" s="15" t="str">
        <x:v>https://www.mlg.ru/products/pr/</x:v>
      </x:c>
      <x:c r="D15" s="15" t="str">
        <x:v>Альтернатива в мониторинге СМИ и PR-аналитике. Цена не предполагалась.</x:v>
      </x:c>
      <x:c r="E15" s="15" t="str">
        <x:v>2026-09-05</x:v>
      </x:c>
    </x:row>
    <x:row r="16" ht="64" customHeight="1">
      <x:c r="A16" s="15" t="str">
        <x:v>Цена, объёмы, CAC, churn</x:v>
      </x:c>
      <x:c r="B16" s="15" t="str">
        <x:v>Авторские гипотезы</x:v>
      </x:c>
      <x:c r="C16" s="15" t="str">
        <x:v>Лист «Допущения»</x:v>
      </x:c>
      <x:c r="D16" s="15" t="str">
        <x:v>Не фактическая выручка, бюджет или подтверждённый pipeline.</x:v>
      </x:c>
      <x:c r="E16" s="15" t="str">
        <x:v>2026-09-05</x:v>
      </x:c>
    </x:row>
    <x:row r="17" ht="27" customHeight="1">
      <x:c r="A17" s="2"/>
      <x:c r="B17" s="2"/>
      <x:c r="C17" s="2"/>
      <x:c r="D17" s="2"/>
      <x:c r="E17" s="2"/>
    </x:row>
    <x:row r="18" ht="27" customHeight="1">
      <x:c r="A18" s="2"/>
      <x:c r="B18" s="2"/>
      <x:c r="C18" s="2"/>
      <x:c r="D18" s="2"/>
      <x:c r="E18" s="2"/>
    </x:row>
    <x:row r="19" ht="27" customHeight="1">
      <x:c r="A19" s="2"/>
      <x:c r="B19" s="2"/>
      <x:c r="C19" s="2"/>
      <x:c r="D19" s="2"/>
      <x:c r="E19" s="2"/>
    </x:row>
    <x:row r="20" ht="27" customHeight="1">
      <x:c r="A20" s="2"/>
      <x:c r="B20" s="2"/>
      <x:c r="C20" s="2"/>
      <x:c r="D20" s="2"/>
      <x:c r="E20" s="2"/>
    </x:row>
  </x:sheetData>
  <x:mergeCells>
    <x:mergeCell ref="A1:E2"/>
    <x:mergeCell ref="A4:E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8" hidden="0" customWidth="1"/>
    <x:col min="3" max="3" width="45" hidden="0" customWidth="1"/>
    <x:col min="4" max="4" width="45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4" t="str">
        <x:v>Проверки · техническая целостность</x:v>
      </x:c>
      <x:c r="B1" s="4"/>
      <x:c r="C1" s="4"/>
      <x:c r="D1" s="4"/>
    </x:row>
    <x:row r="2" ht="25" customHeight="1">
      <x:c r="A2" s="4"/>
      <x:c r="B2" s="4"/>
      <x:c r="C2" s="4"/>
      <x:c r="D2" s="4"/>
    </x:row>
    <x:row r="3" ht="27" customHeight="1">
      <x:c r="A3" s="2"/>
      <x:c r="B3" s="2"/>
      <x:c r="C3" s="2"/>
      <x:c r="D3" s="2"/>
    </x:row>
    <x:row r="4" ht="38" customHeight="1">
      <x:c r="A4" s="6" t="str">
        <x:v>PASS означает согласованность формул, а не реалистичность гипотез и не успешность бизнеса.</x:v>
      </x:c>
      <x:c r="B4" s="6"/>
      <x:c r="C4" s="6"/>
      <x:c r="D4" s="6"/>
    </x:row>
    <x:row r="5" ht="27" customHeight="1">
      <x:c r="A5" s="2"/>
      <x:c r="B5" s="2"/>
      <x:c r="C5" s="2"/>
      <x:c r="D5" s="2"/>
    </x:row>
    <x:row r="6" ht="38" customHeight="1">
      <x:c r="A6" s="9" t="str">
        <x:v>Контроль</x:v>
      </x:c>
      <x:c r="B6" s="9" t="str">
        <x:v>Статус</x:v>
      </x:c>
      <x:c r="C6" s="9" t="str">
        <x:v>Что проверяется</x:v>
      </x:c>
      <x:c r="D6" s="9" t="str">
        <x:v>Где исправлять</x:v>
      </x:c>
    </x:row>
    <x:row r="7" ht="48" customHeight="1">
      <x:c r="A7" s="15" t="str">
        <x:v>Валовой вклад unit</x:v>
      </x:c>
      <x:c r="B7" s="17" t="str">
        <x:f>IF(ABS('Unit-экономика'!B17-('Unit-экономика'!B16-'Unit-экономика'!B15))&lt;0.01,"PASS","FAIL")</x:f>
        <x:v>PASS</x:v>
      </x:c>
      <x:c r="C7" s="15" t="str">
        <x:v>ARPA − COGS = вклад</x:v>
      </x:c>
      <x:c r="D7" s="15" t="str">
        <x:v>Unit-экономика</x:v>
      </x:c>
    </x:row>
    <x:row r="8" ht="48" customHeight="1">
      <x:c r="A8" s="15" t="str">
        <x:v>Движение клиентской базы</x:v>
      </x:c>
      <x:c r="B8" s="17" t="str">
        <x:f>IF(ABS(SUM('План 24 месяца'!E7:E30)-SUM('План 24 месяца'!G7:G30)-'План 24 месяца'!H30)&lt;0.01,"PASS","FAIL")</x:f>
        <x:v>PASS</x:v>
      </x:c>
      <x:c r="C8" s="15" t="str">
        <x:v>Новые − отток = конечная база</x:v>
      </x:c>
      <x:c r="D8" s="15" t="str">
        <x:v>План 24 месяца</x:v>
      </x:c>
    </x:row>
    <x:row r="9" ht="48" customHeight="1">
      <x:c r="A9" s="15" t="str">
        <x:v>Движение денег</x:v>
      </x:c>
      <x:c r="B9" s="17" t="str">
        <x:f>IF(ABS('Допущения'!$E$40+SUM('План 24 месяца'!X7:X30)-'План 24 месяца'!Y30)&lt;0.01,"PASS","FAIL")</x:f>
        <x:v>PASS</x:v>
      </x:c>
      <x:c r="C9" s="15" t="str">
        <x:v>Начало + потоки = конец</x:v>
      </x:c>
      <x:c r="D9" s="15" t="str">
        <x:v>План 24 месяца</x:v>
      </x:c>
    </x:row>
    <x:row r="10" ht="48" customHeight="1">
      <x:c r="A10" s="15" t="str">
        <x:v>Компоненты выручки</x:v>
      </x:c>
      <x:c r="B10" s="17" t="str">
        <x:f>IF(ABS(SUM('План 24 месяца'!J7:L30)-SUM('План 24 месяца'!M7:M30))&lt;0.01,"PASS","FAIL")</x:f>
        <x:v>PASS</x:v>
      </x:c>
      <x:c r="C10" s="15" t="str">
        <x:v>MRR + пилоты + подключение</x:v>
      </x:c>
      <x:c r="D10" s="15" t="str">
        <x:v>План 24 месяца</x:v>
      </x:c>
    </x:row>
    <x:row r="11" ht="48" customHeight="1">
      <x:c r="A11" s="15" t="str">
        <x:v>Доли в допустимом диапазоне</x:v>
      </x:c>
      <x:c r="B11" s="17" t="str">
        <x:f>IF(AND('Допущения'!$E$11&gt;=0,'Допущения'!$E$11&lt;=1,'Допущения'!$E$26&gt;=0,'Допущения'!$E$26&lt;1,'Допущения'!$E$30&gt;0,'Допущения'!$E$30&lt;=1,'Допущения'!$E$31&gt;0,'Допущения'!$E$31&lt;=1),"PASS","FAIL")</x:f>
        <x:v>PASS</x:v>
      </x:c>
      <x:c r="C11" s="15" t="str">
        <x:v>Кэш, churn и конверсии</x:v>
      </x:c>
      <x:c r="D11" s="15" t="str">
        <x:v>Допущения</x:v>
      </x:c>
    </x:row>
    <x:row r="12" ht="48" customHeight="1">
      <x:c r="A12" s="15" t="str">
        <x:v>Положительный вклад</x:v>
      </x:c>
      <x:c r="B12" s="17" t="str">
        <x:f>IF('Unit-экономика'!B17&gt;0,"PASS","FAIL")</x:f>
        <x:v>PASS</x:v>
      </x:c>
      <x:c r="C12" s="15" t="str">
        <x:v>Подписка покрывает COGS</x:v>
      </x:c>
      <x:c r="D12" s="15" t="str">
        <x:v>Цена / прямые затраты</x:v>
      </x:c>
    </x:row>
    <x:row r="13" ht="48" customHeight="1">
      <x:c r="A13" s="15" t="str">
        <x:v>Деньги неотрицательны</x:v>
      </x:c>
      <x:c r="B13" s="17" t="str">
        <x:f>IF(MIN('План 24 месяца'!Y7:Y30)&gt;=0,"PASS","НУЖНО ФИНАНСИРОВАНИЕ")</x:f>
        <x:v>НУЖНО ФИНАНСИРОВАНИЕ</x:v>
      </x:c>
      <x:c r="C13" s="15" t="str">
        <x:v>Предупреждение, не ошибка формул</x:v>
      </x:c>
      <x:c r="D13" s="15" t="str">
        <x:v>Обзор: дополнительное финансирование</x:v>
      </x:c>
    </x:row>
    <x:row r="14" ht="27" customHeight="1">
      <x:c r="A14" s="2"/>
      <x:c r="B14" s="2"/>
      <x:c r="C14" s="2"/>
      <x:c r="D14" s="2"/>
    </x:row>
    <x:row r="15" ht="27" customHeight="1">
      <x:c r="A15" s="2"/>
      <x:c r="B15" s="2"/>
      <x:c r="C15" s="2"/>
      <x:c r="D15" s="2"/>
    </x:row>
    <x:row r="16" ht="27" customHeight="1">
      <x:c r="A16" s="2" t="str">
        <x:v>MODEL STATUS</x:v>
      </x:c>
      <x:c r="B16" s="11" t="str">
        <x:f>IF(COUNTIF(B7:B12,"FAIL")=0,"PASS","FAIL")</x:f>
        <x:v>PASS</x:v>
      </x:c>
      <x:c r="C16" s="2"/>
      <x:c r="D16" s="2"/>
    </x:row>
    <x:row r="17" ht="27" customHeight="1">
      <x:c r="A17" s="2"/>
      <x:c r="B17" s="2"/>
      <x:c r="C17" s="2"/>
      <x:c r="D17" s="2"/>
    </x:row>
    <x:row r="18" ht="27" customHeight="1">
      <x:c r="A18" s="2"/>
      <x:c r="B18" s="2"/>
      <x:c r="C18" s="2"/>
      <x:c r="D18" s="2"/>
    </x:row>
    <x:row r="19" ht="42" customHeight="1">
      <x:c r="A19" s="6" t="str">
        <x:v>Предупреждение о кассовом разрыве не меняет PASS арифметики. Финансирование модели — отдельное бизнес-решение.</x:v>
      </x:c>
      <x:c r="B19" s="6"/>
      <x:c r="C19" s="6"/>
      <x:c r="D19" s="6"/>
    </x:row>
    <x:row r="20" ht="27" customHeight="1">
      <x:c r="A20" s="2"/>
      <x:c r="B20" s="2"/>
      <x:c r="C20" s="2"/>
      <x:c r="D20" s="2"/>
    </x:row>
    <x:row r="21" ht="27" customHeight="1">
      <x:c r="A21" s="2"/>
      <x:c r="B21" s="2"/>
      <x:c r="C21" s="2"/>
      <x:c r="D21" s="2"/>
    </x:row>
    <x:row r="22" ht="27" customHeight="1">
      <x:c r="A22" s="2"/>
      <x:c r="B22" s="2"/>
      <x:c r="C22" s="2"/>
      <x:c r="D22" s="2"/>
    </x:row>
  </x:sheetData>
  <x:mergeCells>
    <x:mergeCell ref="A1:D2"/>
    <x:mergeCell ref="A4:D4"/>
    <x:mergeCell ref="A19:D19"/>
  </x:mergeCells>
  <x:pageMargins left="0.7" right="0.7" top="0.75" bottom="0.75" header="0.3" footer="0.3"/>
</x:worksheet>
</file>